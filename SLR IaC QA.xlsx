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set of papers" sheetId="1" r:id="rId5"/>
    <sheet state="visible" name="Visualizations2" sheetId="2" r:id="rId6"/>
    <sheet state="visible" name="IaC_issues_across_platforms" sheetId="3" r:id="rId7"/>
    <sheet state="visible" name="IaC_issues_across_layers" sheetId="4" r:id="rId8"/>
    <sheet state="visible" name="Techniques_over_years" sheetId="5" r:id="rId9"/>
    <sheet state="visible" name="All papers" sheetId="6" r:id="rId10"/>
    <sheet state="visible" name="Queries" sheetId="7" r:id="rId11"/>
  </sheets>
  <definedNames>
    <definedName hidden="1" localSheetId="5" name="_xlnm._FilterDatabase">'All papers'!$F$1:$F$911</definedName>
  </definedNames>
  <calcPr/>
</workbook>
</file>

<file path=xl/sharedStrings.xml><?xml version="1.0" encoding="utf-8"?>
<sst xmlns="http://schemas.openxmlformats.org/spreadsheetml/2006/main" count="2781" uniqueCount="935">
  <si>
    <t>Title</t>
  </si>
  <si>
    <t>ref doi</t>
  </si>
  <si>
    <t>Library</t>
  </si>
  <si>
    <t>Tool's name</t>
  </si>
  <si>
    <t>What - Technology Dependecy</t>
  </si>
  <si>
    <t>What - Which techno</t>
  </si>
  <si>
    <t>What - Defects (Categories)</t>
  </si>
  <si>
    <t>When</t>
  </si>
  <si>
    <t>Where - Granularity</t>
  </si>
  <si>
    <t>Where - Level</t>
  </si>
  <si>
    <t>How - Techniques</t>
  </si>
  <si>
    <t>How - Categories of techniques</t>
  </si>
  <si>
    <t>How - Lifecycle</t>
  </si>
  <si>
    <t>Tool based ?</t>
  </si>
  <si>
    <t>Data sets / Replication packages</t>
  </si>
  <si>
    <t>Ranks</t>
  </si>
  <si>
    <t>Year</t>
  </si>
  <si>
    <t>Code access</t>
  </si>
  <si>
    <t>Maturity</t>
  </si>
  <si>
    <t>Links</t>
  </si>
  <si>
    <t>Does your configuration code smell?</t>
  </si>
  <si>
    <t>https://dl.acm.org/doi/pdf/10.1145/2901739.2901761</t>
  </si>
  <si>
    <t>acm (done)</t>
  </si>
  <si>
    <t>Puppeteer</t>
  </si>
  <si>
    <t>Technology Specifi - TS</t>
  </si>
  <si>
    <t>Puppet</t>
  </si>
  <si>
    <t>2-3- Language constructs, 2-1- Naming &amp; conventions, 1-3- Code structure, 2-2- Syntax &amp; Formatting, 1- Structural Quality, 2- Syntactic &amp; Linguistic Quality, 1-1- Abstraction issues, 1-2- Modularity &amp; Organization</t>
  </si>
  <si>
    <t>Implementation, Design</t>
  </si>
  <si>
    <t>Script, Module</t>
  </si>
  <si>
    <t>Config management</t>
  </si>
  <si>
    <t>Regular Expressions - RegX</t>
  </si>
  <si>
    <t>1 - Rule-Based and Pattern-Matching Approaches</t>
  </si>
  <si>
    <t>Static</t>
  </si>
  <si>
    <t>Yes</t>
  </si>
  <si>
    <t>https://github.com/tushartushar/Puppeteer</t>
  </si>
  <si>
    <t>RankA</t>
  </si>
  <si>
    <t>WhiteBox</t>
  </si>
  <si>
    <t>Both</t>
  </si>
  <si>
    <t>Github</t>
  </si>
  <si>
    <t>PuppetLint</t>
  </si>
  <si>
    <t>https://github.com/tushartushar/configSmellData</t>
  </si>
  <si>
    <t>Gang of Eight: A Defect Taxonomy for Infrastructure as Code Scripts</t>
  </si>
  <si>
    <t>https://ieeexplore.ieee.org/document/9284113</t>
  </si>
  <si>
    <t>ieee (done)</t>
  </si>
  <si>
    <t>ACID</t>
  </si>
  <si>
    <t>8-1- Program Flow, 7-1- Configuration Data, 4-3- Dependecies &amp; integration, 6-1- Code Readability, 9-3- Infra components, 4-1- Idempotency &amp; State management, 3- Security, 4- Operational Quality, 8- Control Flow &amp; Logic, 7- Data &amp; Variable management, 6- Maintability &amp; Documentation, 9- Domain Specific Issues</t>
  </si>
  <si>
    <t>Implementation</t>
  </si>
  <si>
    <t>Script</t>
  </si>
  <si>
    <t>https://hub.docker.com/r/akondrahman/acid-puppet
https://figshare.com/s/b2633bd4b1929267a451</t>
  </si>
  <si>
    <t>RankA*</t>
  </si>
  <si>
    <t>Figshare, Docker hub</t>
  </si>
  <si>
    <t>DeepIaC: deep learning-based linguistic anti-pattern detection in IaC</t>
  </si>
  <si>
    <t>https://dl.acm.org/doi/10.1145/3416505.3423564</t>
  </si>
  <si>
    <t>DeepIaC</t>
  </si>
  <si>
    <t>Ansible</t>
  </si>
  <si>
    <t>2-1- Naming &amp; conventions, 2- Syntactic &amp; Linguistic Quality</t>
  </si>
  <si>
    <t>Deep Learning - DL</t>
  </si>
  <si>
    <t>4 - Statistical and Learning-Based Methods</t>
  </si>
  <si>
    <t>https://github.com/SODALITE-EU/defect-prediction</t>
  </si>
  <si>
    <t>Polyglot Code Smell Detection for Infrastructure as Code with GLITCH;  
GLITCH: Automated Polyglot Security Smell Detection in Infrastructure as Code</t>
  </si>
  <si>
    <t>https://www.computer.org/csdl/proceedings-article/ase/2023/299600c042/1SBGsb6PvS8
https://dl.acm.org/doi/10.1145/3551349.3556945</t>
  </si>
  <si>
    <t>Glitch</t>
  </si>
  <si>
    <t>Technology Agnostic - TA</t>
  </si>
  <si>
    <t>Multi (for TA)</t>
  </si>
  <si>
    <t>6-1- Code Readability, 2-2- Syntax &amp; Formatting, 1-3- Code structure, 7-2- Vraibale management, 1-1- Abstraction issues, 1- Structural Quality, 2- Syntactic &amp; Linguistic Quality, 6- Maintability &amp; Documentation, 7- Data &amp; Variable management, 3- Security</t>
  </si>
  <si>
    <t>Other</t>
  </si>
  <si>
    <t>Pattern Matching, Regular Expressions - RegX</t>
  </si>
  <si>
    <t>https://figshare.com/articles/dataset/GLITCH_Replication_Package_with_Code_and_Datasets_ASE_2022_/19726603/2?file=36939973</t>
  </si>
  <si>
    <t>Figshare</t>
  </si>
  <si>
    <t>Smelly variables in ansible infrastructure code: detection, prevalence, and lifetime</t>
  </si>
  <si>
    <t>https://dl.acm.org/doi/10.1145/3524842.3527964</t>
  </si>
  <si>
    <t>Smelly variables</t>
  </si>
  <si>
    <t>7-2- Vraibale management, 7- Data &amp; Variable management</t>
  </si>
  <si>
    <t>Program Dependncy Graph - PDG</t>
  </si>
  <si>
    <t>2 - Graph-Based Analyses</t>
  </si>
  <si>
    <t>https://figshare.com/articles/dataset/Replication_package_for_Smelly_Variables_in_Ansible_Infrastructure_Code_Detection_Prevalence_and_Lifetime_/18819074</t>
  </si>
  <si>
    <t>Dataset</t>
  </si>
  <si>
    <t>Source Code Properties of Defective Infrastructure as Code Scripts</t>
  </si>
  <si>
    <t>https://arxiv.org/abs/1810.09605
https://www.sciencedirect.com/science/article/pii/S0950584919300965
https://dl.acm.org/doi/10.1016/j.infsof.2019.04.013</t>
  </si>
  <si>
    <t>--------------</t>
  </si>
  <si>
    <t>2-3- Language constructs, 2- Syntactic &amp; Linguistic Quality</t>
  </si>
  <si>
    <t>Statistical Learners</t>
  </si>
  <si>
    <t>https://figshare.com/s/ad26e370c833e8aa9712</t>
  </si>
  <si>
    <t>Journal</t>
  </si>
  <si>
    <t>As Code Testing: Characterizing Test Quality in Open Source Ansible Development</t>
  </si>
  <si>
    <t>https://ieeexplore.ieee.org/document/9787876</t>
  </si>
  <si>
    <t>TAMA</t>
  </si>
  <si>
    <t>9-3- Infra components, 4-3- Dependecies &amp; integration, 4-1- Idempotency &amp; State management, 5-1- Resource Optimization, 5-2- Scalability, 6-1- Code Readability, 9- Domain Specific Issues, 6- Maintability &amp; Documentation, 4- Operational Quality, 5- Performance &amp; Resource management, 1- Structural Quality, 2- Syntactic &amp; Linguistic Quality, 3- Security</t>
  </si>
  <si>
    <t>Pattern Algorithms</t>
  </si>
  <si>
    <r>
      <rPr>
        <rFont val="Arial"/>
      </rPr>
      <t xml:space="preserve">https://github.com/akondrahman/IaCTesting
https://figshare.com/s/4aa50ec7c34c18c71223
</t>
    </r>
    <r>
      <rPr>
        <rFont val="Arial"/>
        <color rgb="FF1155CC"/>
        <u/>
      </rPr>
      <t>https://hub.docker.com/r/talismanic/tama</t>
    </r>
  </si>
  <si>
    <t>Figshare, Docker hub, Github</t>
  </si>
  <si>
    <t>State Reconciliation Defects in Infrastructure as Code</t>
  </si>
  <si>
    <t>https://dl.acm.org/doi/10.1145/3660790</t>
  </si>
  <si>
    <t>4-3- Dependecies &amp; integration, 8-1- Program Flow, 4-1- Idempotency &amp; State management, 9-3- Infra components, 9-2- Cloud Provider Specfic, 4-2- Error Handling &amp; Reliability, 7-2- Vraibale management, 8-2- Function &amp; Method Logic, 3-1- Authentication &amp; Authorization, 3-2- Secrets Management, 2-3- Language constructs, 5- Performance &amp; Resource management, 2- Syntactic &amp; Linguistic Quality, 4- Operational Quality, 7- Data &amp; Variable management, 8- Control Flow &amp; Logic, 9- Domain Specific Issues, 3- Security</t>
  </si>
  <si>
    <t>Runtime</t>
  </si>
  <si>
    <t>5 - Testing &amp; Excution based</t>
  </si>
  <si>
    <t>Hybrid</t>
  </si>
  <si>
    <t>https://figshare.com/articles/dataset/State_Reconciliation_Defects_in_Infrastructure_as_Code/24129996?file=44810890</t>
  </si>
  <si>
    <t>Toward a catalog of software quality metrics for infrastructure code</t>
  </si>
  <si>
    <t>https://www.sciencedirect.com/science/article/pii/S0164121220301618</t>
  </si>
  <si>
    <t>science direct (done)</t>
  </si>
  <si>
    <t>1-3- Code structure, 6-1- Code Readability, 2-2- Syntax &amp; Formatting, 8-1- Program Flow, 8-2- Function &amp; Method Logic, 4-1- Idempotency &amp; State management, 3-1- Authentication &amp; Authorization, 6-3- Code Reusability, 1-2- Modularity &amp; Organization, 7-2- Vraibale management, 3-3- Network Security, 2-3- Language constructs, 6-2- Version control &amp; Compatibility, 4-2- Error Handling &amp; Reliability, 4-3- Dependecies &amp; integration, 3-4- Cryptography &amp; Integrity, 2-1- Naming &amp; conventions, 1- Structural Quality, 2- Syntactic &amp; Linguistic Quality, 3- Security, 4- Operational Quality, 6- Maintability &amp; Documentation, 7- Data &amp; Variable management, 8- Control Flow &amp; Logic</t>
  </si>
  <si>
    <t>NA</t>
  </si>
  <si>
    <t>No</t>
  </si>
  <si>
    <t>Not available</t>
  </si>
  <si>
    <t>Smells-sus: Sustainability Smells in IaC</t>
  </si>
  <si>
    <t>https://arxiv.org/abs/2501.07676
https://www.computer.org/csdl/proceedings-article/msr/2025/018300a801/27vTr57za7K
https://ieeexplore.ieee.org/document/11025603</t>
  </si>
  <si>
    <t>Terraform</t>
  </si>
  <si>
    <t>5-1- Resource Optimization, 5-2- Scalability, 5-3- Lifecycle management, 4-1- Idempotency &amp; State management, 1-2- Modularity &amp; Organization, 5- Performance &amp; Resource management, 4- Operational Quality, 1- Structural Quality</t>
  </si>
  <si>
    <t>Provisioning</t>
  </si>
  <si>
    <t>https://zenodo.org/records/14020461</t>
  </si>
  <si>
    <t>Zenodo</t>
  </si>
  <si>
    <t>Security Smells in Ansible and Chef Scripts: A Replication Study</t>
  </si>
  <si>
    <t>https://dl.acm.org/doi/10.1145/3408897</t>
  </si>
  <si>
    <t>SLAC</t>
  </si>
  <si>
    <t>Technology Dependent - TD</t>
  </si>
  <si>
    <t>Chef, Ansible</t>
  </si>
  <si>
    <t>3-1- Authentication &amp; Authorization, 3-2- Secrets Management, 3-3- Network Security, 3-4- Cryptography &amp; Integrity, 2-3- Language constructs, 3- Security, 2- Syntactic &amp; Linguistic Quality</t>
  </si>
  <si>
    <t>https://figshare.com/articles/dataset/Dataset_for_Security_Smells_for_Ansible_and_Chef_Scripts_A_Replication_Study_/8085755</t>
  </si>
  <si>
    <t>Rehearsal: a configuration verification tool for puppet</t>
  </si>
  <si>
    <t>https://dl.acm.org/doi/10.1145/2908080.2908083</t>
  </si>
  <si>
    <t>acm</t>
  </si>
  <si>
    <t>Rehearsal</t>
  </si>
  <si>
    <t>4-1- Idempotency &amp; State management, 4-2- Error Handling &amp; Reliability, 4-3- Dependecies &amp; integration, 4- Operational Quality</t>
  </si>
  <si>
    <t>Resource Graph - RG, SMT solvers</t>
  </si>
  <si>
    <t>3 - Formal Methods, 2 - Graph-Based Analyses</t>
  </si>
  <si>
    <t>https://github.com/plasma-umass/Rehearsal/</t>
  </si>
  <si>
    <t>Within-Project Defect Prediction of Infrastructure-as-Code Using Product and Process Metrics</t>
  </si>
  <si>
    <t>https://ieeexplore.ieee.org/document/9321740</t>
  </si>
  <si>
    <t>RADON</t>
  </si>
  <si>
    <t>1- Structural Quality, 2- Syntactic &amp; Linguistic Quality, 6- Maintability &amp; Documentation, 8- Control Flow &amp; Logic, 7- Data &amp; Variable management</t>
  </si>
  <si>
    <t>Machine Learning - ML</t>
  </si>
  <si>
    <t>https://www.kaggle.com/datasets/stefadp/ansibledefectsprediction
https://github.com/stefanodallapalma/TSE-2020-05-0217
https://github.com/radon-h2020/radon-defect-prediction-api</t>
  </si>
  <si>
    <t>Kaggle, Github</t>
  </si>
  <si>
    <t>Defuse: A Data Annotator and Model Builder for Software Defect Prediction</t>
  </si>
  <si>
    <t>https://ieeexplore.ieee.org/document/9978237</t>
  </si>
  <si>
    <t>DEFUSE</t>
  </si>
  <si>
    <t>Ansible, TOSCA</t>
  </si>
  <si>
    <t>https://github.com/radon-h2020/radon-defuse</t>
  </si>
  <si>
    <t>RankA (short paper)</t>
  </si>
  <si>
    <t>TerraMetrics: An Open Source Tool for Infrastructure-as-Code (IaC) Quality Metrics in Terraform</t>
  </si>
  <si>
    <t>https://dl.acm.org/doi/10.1145/3643916.3644439</t>
  </si>
  <si>
    <t>Terrametrics</t>
  </si>
  <si>
    <t>1-3- Code structure, 2-2- Syntax &amp; Formatting, 7-2- Vraibale management, 2-3- Language constructs, 4-3- Dependecies &amp; integration, 6-1- Code Readability, 8-1- Program Flow, 8-2- Function &amp; Method Logic, 4-2- Error Handling &amp; Reliability, 1- Structural Quality, 2- Syntactic &amp; Linguistic Quality, 4- Operational Quality, 6- Maintability &amp; Documentation, 7- Data &amp; Variable management, 8- Control Flow &amp; Logic</t>
  </si>
  <si>
    <t>AST traversal, Visitor Pattern</t>
  </si>
  <si>
    <t>https://github.com/stilab-ets/terametrics</t>
  </si>
  <si>
    <t>Repairing Infrastructure-as-Code using Large Language Models</t>
  </si>
  <si>
    <t>https://ieeexplore.ieee.org/document/10734039</t>
  </si>
  <si>
    <t>3- Security</t>
  </si>
  <si>
    <t>LLMs</t>
  </si>
  <si>
    <t>Security in DevSecOps: Applying Tools and Machine Learning to Verification and Monitoring Steps</t>
  </si>
  <si>
    <t>https://dl.acm.org/doi/10.1145/3578245.3584943</t>
  </si>
  <si>
    <t>- IaC Scan Runner
- LOMOS</t>
  </si>
  <si>
    <t>Implementation, Runtime</t>
  </si>
  <si>
    <t>Rule-based checks, NLP</t>
  </si>
  <si>
    <t>1 - Rule-Based and Pattern-Matching Approaches, 4 - Statistical and Learning-Based Methods</t>
  </si>
  <si>
    <t>https://github.com/xlab-si/iac-scan-runner
https://xlab-si.github.io/iac-scanner-docs/02-runner.html</t>
  </si>
  <si>
    <t>RankB (short paper)</t>
  </si>
  <si>
    <t>InfraFix: Technology-Agnostic Repair of Infrastructure as Code</t>
  </si>
  <si>
    <r>
      <rPr>
        <rFont val="Arial"/>
        <color rgb="FF1155CC"/>
        <u/>
      </rPr>
      <t xml:space="preserve">https://dl.acm.org/doi/10.1145/3713081.3731735
</t>
    </r>
    <r>
      <rPr>
        <rFont val="Arial"/>
        <color rgb="FF1155CC"/>
        <u/>
      </rPr>
      <t>https://arxiv.org/abs/2503.17220
https://conf.researchr.org/details/issta-2025/issta-2025-tool-demonstrations/15/InfraFix-Technology-Agnostic-Repair-of-Infrastructure-as-Codehttps://dl.acm.org/doi/10.1145/3713081.3731735</t>
    </r>
  </si>
  <si>
    <t>InfraFix</t>
  </si>
  <si>
    <t>3- Security, 7- Data &amp; Variable management, 8- Control Flow &amp; Logic</t>
  </si>
  <si>
    <t>SMT solvers</t>
  </si>
  <si>
    <t>3 - Formal Methods</t>
  </si>
  <si>
    <t>https://zenodo.org/records/15198041</t>
  </si>
  <si>
    <t>Towards Sustainable Cloud Deployments: A Cost (Anti)Patterns Catalog for Terraform and Cloudformation</t>
  </si>
  <si>
    <t>https://papers.ssrn.com/sol3/papers.cfm?abstract_id=5137165</t>
  </si>
  <si>
    <t>Not peer reviewed</t>
  </si>
  <si>
    <t>IaC-Cost Linter</t>
  </si>
  <si>
    <t>Terraform, Cloud Formation</t>
  </si>
  <si>
    <t>5-1- Resource Optimization, 5-3- Lifecycle management, 9-2- Cloud Provider Specfic, 9- Domain Specific Issues, 5- Performance &amp; Resource management</t>
  </si>
  <si>
    <r>
      <rPr>
        <rFont val="Arial"/>
        <color rgb="FF1155CC"/>
        <u/>
      </rPr>
      <t>https://zenodo.org/records/11319775</t>
    </r>
    <r>
      <rPr>
        <rFont val="Arial"/>
      </rPr>
      <t xml:space="preserve"> (dataset of cost awerness)
</t>
    </r>
    <r>
      <rPr>
        <rFont val="Arial"/>
        <color rgb="FF1155CC"/>
        <u/>
      </rPr>
      <t>https://github.com/search-rug/iac-cost-linter/
https://zenodo.org/records/14501830</t>
    </r>
    <r>
      <rPr>
        <rFont val="Arial"/>
      </rPr>
      <t xml:space="preserve"> (IaC cost patterns)</t>
    </r>
  </si>
  <si>
    <t>Github, Zenodo</t>
  </si>
  <si>
    <t>A Framework for Measuring the Quality of Infrastructure-as-Code Scripts</t>
  </si>
  <si>
    <t>https://arxiv.org/abs/2502.03127</t>
  </si>
  <si>
    <t>------------- (Freamwork for IaC quality based on the standard ISO/IEC 25010:2011⁦)</t>
  </si>
  <si>
    <t>6-1- Code Readability, 1-3- Code structure, 1-2- Modularity &amp; Organization, 4-2- Error Handling &amp; Reliability, 6-2- Version control &amp; Compatibility, 2-1- Naming &amp; conventions, 2-2- Syntax &amp; Formatting, 8-2- Function &amp; Method Logic, 8-1- Program Flow, 3-2- Secrets Management, 3-3- Network Security, 3-4- Cryptography &amp; Integrity, 4-3- Dependecies &amp; integration, 4-1- Idempotency &amp; State management, 7-2- Vraibale management, 1- Structural Quality, 2- Syntactic &amp; Linguistic Quality, 3- Security, 4- Operational Quality, 6- Maintability &amp; Documentation, 7- Data &amp; Variable management, 8- Control Flow &amp; Logic</t>
  </si>
  <si>
    <t>https://figshare.com/s/b78d2c82767ab7d86beb</t>
  </si>
  <si>
    <t>Statically Inferring Usage Bounds for Infrastructure as Code</t>
  </si>
  <si>
    <t>https://link.springer.com/chapter/10.1007/978-3-031-86695-1_6
https://link.springer.com/chapter/10.1007/978-3-031-86695-1_6</t>
  </si>
  <si>
    <t>springer</t>
  </si>
  <si>
    <t>IaCAnalysis (Cost prediction)</t>
  </si>
  <si>
    <t>Cloud Formation</t>
  </si>
  <si>
    <t>5-1- Resource Optimization, 5- Performance &amp; Resource management</t>
  </si>
  <si>
    <t>Project</t>
  </si>
  <si>
    <t>SMT solvers, Resource Graph - RG</t>
  </si>
  <si>
    <t>2 - Graph-Based Analyses, 3 - Formal Methods</t>
  </si>
  <si>
    <t>https://zenodo.org/records/10173400
https://github.com/Barnard-PL-Labs/IaCAnalysis/tree/main/pipr_dataset</t>
  </si>
  <si>
    <t>A Comparative Study on the Security of Kubernetes Deployments</t>
  </si>
  <si>
    <t>https://ieeexplore.ieee.org/document/10592468</t>
  </si>
  <si>
    <t>ieee</t>
  </si>
  <si>
    <t>kubesecurity-scanner</t>
  </si>
  <si>
    <t>Kubernetes</t>
  </si>
  <si>
    <t>3-1- Authentication &amp; Authorization, 3-2- Secrets Management, 3-3- Network Security, 5-1- Resource Optimization, 3- Security, 5- Performance &amp; Resource management</t>
  </si>
  <si>
    <t>Orchestration</t>
  </si>
  <si>
    <t>6 - Other</t>
  </si>
  <si>
    <t>https://github.com/kamieniarzk/kube-security-scanner</t>
  </si>
  <si>
    <t>RankB</t>
  </si>
  <si>
    <t>A Pilot Study of Testing Infrastructure as Code for Cloud Systems</t>
  </si>
  <si>
    <t>https://ieeexplore.ieee.org/document/10479426</t>
  </si>
  <si>
    <t>------------- (Server IaC test types)</t>
  </si>
  <si>
    <t>8-2- Function &amp; Method Logic, 4-3- Dependecies &amp; integration, 7- Data &amp; Variable management, 4-2- Error Handling &amp; Reliability, 3-1- Authentication &amp; Authorization, 3-2- Secrets Management, 3-3- Network Security, 3- Security, 4- Operational Quality, 8- Control Flow &amp; Logic</t>
  </si>
  <si>
    <t>https://github.com/nabhan-au/Testing-IaC-Research/tree/main</t>
  </si>
  <si>
    <t>RankC (short paper)</t>
  </si>
  <si>
    <t>An Empirical Study of Task Infections in Ansible Scripts</t>
  </si>
  <si>
    <t>https://akondrahman.github.io/files/papers/emse2024-tidal.pdf
https://link.springer.com/article/10.1007/s10664-023-10432-6
https://dl.acm.org/doi/10.1007/s10664-023-10432-6</t>
  </si>
  <si>
    <t>springer (done)</t>
  </si>
  <si>
    <t>TIDAL  (Task Infection Detector for Ansible Scripts)</t>
  </si>
  <si>
    <t>3-1- Authentication &amp; Authorization, 3-2- Secrets Management, 3-4- Cryptography &amp; Integrity, 3-3- Network Security, 9-2- Cloud Provider Specfic, 9-3- Infra components, 3- Security, 9- Domain Specific Issues</t>
  </si>
  <si>
    <t>Pattern Matching, Data Dependecy Graph - DDG</t>
  </si>
  <si>
    <t>1 - Rule-Based and Pattern-Matching Approaches, 2 - Graph-Based Analyses</t>
  </si>
  <si>
    <t>https://figshare.com/s/c9d7b8aa973f53f02234?file=42146865</t>
  </si>
  <si>
    <t>Unearthing Semantic Checks for Cloud Infrastructure-as-Code Programs</t>
  </si>
  <si>
    <t>https://dl.acm.org/doi/10.1145/3694715.3695974</t>
  </si>
  <si>
    <t>Zodiac (Very good tool)</t>
  </si>
  <si>
    <t>9- Domain Specific Issues</t>
  </si>
  <si>
    <t>Configuration mining, LLMs, SMT solvers, Resource Graph - RG</t>
  </si>
  <si>
    <t>4 - Statistical and Learning-Based Methods, 2 - Graph-Based Analyses, 3 - Formal Methods</t>
  </si>
  <si>
    <t>Dynamic</t>
  </si>
  <si>
    <t>https://github.com/824728350/Zodiac</t>
  </si>
  <si>
    <t>KubeHound: Detecting Microservices’ Security Smells in Kubernetes Deployments</t>
  </si>
  <si>
    <t>https://www.mdpi.com/1999-5903/15/7/228</t>
  </si>
  <si>
    <t>other</t>
  </si>
  <si>
    <t>KubeHound</t>
  </si>
  <si>
    <t>3-1- Authentication &amp; Authorization, 3-2- Secrets Management, 3-3- Network Security, 3-4- Cryptography &amp; Integrity, 3- Security</t>
  </si>
  <si>
    <t>1 - Rule-Based and Pattern-Matching Approaches, 2 - Graph-Based Analyses, 5 - Testing &amp; Excution based</t>
  </si>
  <si>
    <t>https://github.com/di-unipi-socc/kube-hound
https://github.com/di-unipi-socc/kube-hound/tree/master/data/examples
https://archive.softwareheritage.org/browse/origin/directory/?origin_url=https://github.com/di-unipi-socc/kube-hound&amp;path=data/examples</t>
  </si>
  <si>
    <t>Towards a Taxonomy of Infrastructure as Code Misconfigurations: An Ansible Study</t>
  </si>
  <si>
    <t>https://drive.google.com/file/d/101WCE65iQBGi4cWxln1_3Y2xKRb-2DUc/view?usp=sharing
https://link.springer.com/chapter/10.1007/978-3-031-72578-4_5</t>
  </si>
  <si>
    <t>-------------</t>
  </si>
  <si>
    <t>4-3- Dependecies &amp; integration, 4-1- Idempotency &amp; State management, 7-1- Configuration Data, 7-2- Vraibale management, 3-2- Secrets Management, 6-2- Version control &amp; Compatibility, 3- Security, 4- Operational Quality, 6- Maintability &amp; Documentation, 7- Data &amp; Variable management</t>
  </si>
  <si>
    <t>Module</t>
  </si>
  <si>
    <t>https://github.com/SODALITE-EU/defect-prediction
https://zenodo.org/records/13147770</t>
  </si>
  <si>
    <t>Automated Infrastructure as Code Program Testing</t>
  </si>
  <si>
    <t>https://ieeexplore.ieee.org/document/10516612</t>
  </si>
  <si>
    <t>ProTI</t>
  </si>
  <si>
    <t>Pulumi</t>
  </si>
  <si>
    <t>4-2- Error Handling &amp; Reliability, 4-3- Dependecies &amp; integration, 7-1- Configuration Data, 2-3- Language constructs, 7- Data &amp; Variable management, 2- Syntactic &amp; Linguistic Quality, 4- Operational Quality</t>
  </si>
  <si>
    <t>Runtime, Implementation</t>
  </si>
  <si>
    <t>Tests</t>
  </si>
  <si>
    <r>
      <rPr>
        <color rgb="FF000000"/>
      </rPr>
      <t xml:space="preserve">https://zenodo.org/records/14203377
</t>
    </r>
    <r>
      <rPr>
        <color rgb="FF1155CC"/>
        <u/>
      </rPr>
      <t>https://github.com/proti-iac/proti/tree/v1.3.0</t>
    </r>
  </si>
  <si>
    <t>Detecting and Characterizing Propagation of Security Weaknesses in Puppet-Based Infrastructure Management</t>
  </si>
  <si>
    <t>https://dl.acm.org/doi/10.1109/TSE.2023.3265962</t>
  </si>
  <si>
    <t>TaintPup</t>
  </si>
  <si>
    <t>3- Security, 3-2- Secrets Management, 3-4- Cryptography &amp; Integrity, 3-1- Authentication &amp; Authorization, 3-3- Network Security</t>
  </si>
  <si>
    <t>Data Dependecy Graph - DDG, Regular Expressions - RegX</t>
  </si>
  <si>
    <t>2 - Graph-Based Analyses, 1 - Rule-Based and Pattern-Matching Approaches</t>
  </si>
  <si>
    <t>Patterns of Multi-Container Composition for Service Orchestration with Docker Compose</t>
  </si>
  <si>
    <t>http://arxiv.org/abs/2305.11293
https://link.springer.com/article/10.1007/s10664-024-10462-8</t>
  </si>
  <si>
    <t>Docker-compose</t>
  </si>
  <si>
    <t>6-3- Code Reusability, 1-3- Code structure, 1-1- Abstraction issues, 1-2- Modularity &amp; Organization, 3-4- Cryptography &amp; Integrity, 3-3- Network Security, 5-3- Lifecycle management, 4-3- Dependecies &amp; integration, 4-1- Idempotency &amp; State management, 9-3- Infra components, 5-2- Scalability, 9- Domain Specific Issues, 4- Operational Quality, 3- Security, 1- Structural Quality, 5- Performance &amp; Resource management, 6- Maintability &amp; Documentation</t>
  </si>
  <si>
    <t>Design, Implementation</t>
  </si>
  <si>
    <t>https://zenodo.org/records/10648448</t>
  </si>
  <si>
    <t>Exploring LLM-Based Automated Repairing of Ansible Script in Edge-Cloud Infrastructures</t>
  </si>
  <si>
    <t>https://ieeexplore.ieee.org/abstract/document/10376418</t>
  </si>
  <si>
    <t>4- Operational Quality</t>
  </si>
  <si>
    <t>An Empirical Study on Kubernetes Operator Bugs</t>
  </si>
  <si>
    <t>https://dl.acm.org/doi/10.1145/3650212.3680396</t>
  </si>
  <si>
    <r>
      <rPr/>
      <t xml:space="preserve">yes (list of bugs)
</t>
    </r>
    <r>
      <rPr>
        <color rgb="FF1155CC"/>
        <u/>
      </rPr>
      <t>https://zenodo.org/records/13340387</t>
    </r>
  </si>
  <si>
    <t>Control and Data Flow in Security Smell Detection for Infrastructure as Code: Is It Worth the Effort?</t>
  </si>
  <si>
    <t>https://ieeexplore.ieee.org/document/10174011</t>
  </si>
  <si>
    <t>GASEL</t>
  </si>
  <si>
    <t>Control Flow Graph, Program Dependncy Graph - PDG</t>
  </si>
  <si>
    <r>
      <rPr/>
      <t xml:space="preserve">Andromeda dataset + Saavedra et al. [12]. </t>
    </r>
    <r>
      <rPr>
        <color rgb="FF1155CC"/>
        <u/>
      </rPr>
      <t>https://figshare.com/articles/dataset/Replication_package_for_Control_and_Data_Flow_in_Security_Smell_Detection_for_Infrastructure_as_Code_Is_It_Worth_the_Effort_/21929856</t>
    </r>
  </si>
  <si>
    <t>On the Prevalence, Co-occurrence, and Impact of Infrastructure-as-Code Smells</t>
  </si>
  <si>
    <t>https://ieeexplore.ieee.org/document/10589858</t>
  </si>
  <si>
    <t>Puppeteer + PuppetLint</t>
  </si>
  <si>
    <t>1- Structural Quality</t>
  </si>
  <si>
    <t>Rule-based checks, AST traversal</t>
  </si>
  <si>
    <t>https://zenodo.org/records/10060209</t>
  </si>
  <si>
    <t>Fine-Grained Just-In-Time Defect Prediction at the Block Level in Infrastructure-as-Code (IaC) | Proceedings of the 21st International Conference on Mining Software Repositories</t>
  </si>
  <si>
    <t>https://dl.acm.org/doi/10.1145/3643991.3644934</t>
  </si>
  <si>
    <t>1- Structural Quality, 1-3- Code structure, 4- Operational Quality, 4-2- Error Handling &amp; Reliability</t>
  </si>
  <si>
    <t>Design</t>
  </si>
  <si>
    <t>https://figshare.com/s/facf0404c96b32274a35?file=44159249</t>
  </si>
  <si>
    <t>Smoke Testing of Cloud Systems</t>
  </si>
  <si>
    <t>https://ieeexplore.ieee.org/document/9787844</t>
  </si>
  <si>
    <t>5- Performance &amp; Resource management, 5-1- Resource Optimization, 5-3- Lifecycle management, 1- Structural Quality</t>
  </si>
  <si>
    <t>https://github.com/cannavit/smoke-test.git</t>
  </si>
  <si>
    <t>Source code properties of defective infrastructure as code scripts</t>
  </si>
  <si>
    <t>https://dl.acm.org/doi/10.1016/j.infsof.2019.04.013</t>
  </si>
  <si>
    <t>1- Structural Quality, 1-3- Code structure, 6- Maintability &amp; Documentation, 6-1- Code Readability, 7- Data &amp; Variable management, 7-2- Vraibale management</t>
  </si>
  <si>
    <t>Configuration mining, Statistical Learners</t>
  </si>
  <si>
    <t>Security Misconfigurations in Open Source Kubernetes Manifests: An Empirical Study</t>
  </si>
  <si>
    <t>https://dl.acm.org/doi/10.1145/3579639</t>
  </si>
  <si>
    <t xml:space="preserve"> SLI-KUBE</t>
  </si>
  <si>
    <t>3- Security, 3-1- Authentication &amp; Authorization, 3-2- Secrets Management, 3-3- Network Security, 9- Domain Specific Issues, 9-1- Container &amp; Orchestration</t>
  </si>
  <si>
    <t>Rule-based checks</t>
  </si>
  <si>
    <t>https://figshare.com/s/bced7c8353853a983cd7</t>
  </si>
  <si>
    <t>Infrastructure as code for dynamic deployments</t>
  </si>
  <si>
    <t>https://dl.acm.org/doi/10.1145/3540250.3558912</t>
  </si>
  <si>
    <t>DIaC
ProTI</t>
  </si>
  <si>
    <t>Resource Graph - RG</t>
  </si>
  <si>
    <t>Towards the self-healing of Infrastructure as Code projects using constrained LLM technologies | Proceedings of the 5th ACM/IEEE International Workshop on Automated Program Repair</t>
  </si>
  <si>
    <t>https://dl.acm.org/doi/10.1145/3643788.3648014</t>
  </si>
  <si>
    <t>2- Syntactic &amp; Linguistic Quality</t>
  </si>
  <si>
    <t>LLMs, RAG</t>
  </si>
  <si>
    <t>Leveraging Practitioners’ Feedback to Improve a Security Linter | Proceedings of the 37th IEEE/ACM International Conference on Automated Software Engineering</t>
  </si>
  <si>
    <t>https://dl.acm.org/doi/10.1145/3551349.3560419</t>
  </si>
  <si>
    <t>InfraSecure</t>
  </si>
  <si>
    <t>AST traversal, Pattern Matching</t>
  </si>
  <si>
    <t>https://figshare.com/s/6b6a769b1393eae0774c?file=36708486</t>
  </si>
  <si>
    <t>Characterizing Co-located Insecure Coding Patterns in Infrastructure as Code Scripts</t>
  </si>
  <si>
    <t>https://ieeexplore.ieee.org/document/9319290</t>
  </si>
  <si>
    <t>https://figshare.com/s/f64f56ec9eaf2eab1af4</t>
  </si>
  <si>
    <t>Unleashing the Giants: Enabling Advanced Testing for Infrastructure as Code</t>
  </si>
  <si>
    <t>https://dl.acm.org/doi/10.1145/3639478.3643078</t>
  </si>
  <si>
    <t>4-2- Error Handling &amp; Reliability, 4-1- Idempotency &amp; State management, 4- Operational Quality, 3- Security</t>
  </si>
  <si>
    <r>
      <rPr/>
      <t xml:space="preserve">https://github.com/proti-iac/proti/tree/v1.3.0
</t>
    </r>
    <r>
      <rPr>
        <color rgb="FF1155CC"/>
        <u/>
      </rPr>
      <t>https://zenodo.org/records/14203377</t>
    </r>
  </si>
  <si>
    <t>Zenodo, Github</t>
  </si>
  <si>
    <t>Ansible Lightspeed: A Code Generation Service for IT Automation</t>
  </si>
  <si>
    <t>https://dl.acm.org/doi/abs/10.1145/3691620.3695277</t>
  </si>
  <si>
    <t>Ansible Lightspeed</t>
  </si>
  <si>
    <t>2-3- Language constructs, 2-1- Naming &amp; conventions, 1-3- Code structure, 1- Structural Quality, 2- Syntactic &amp; Linguistic Quality</t>
  </si>
  <si>
    <r>
      <rPr/>
      <t xml:space="preserve">https://github.com/ansible/ansible-ai-connect-service
</t>
    </r>
    <r>
      <rPr>
        <color rgb="FF1155CC"/>
        <u/>
      </rPr>
      <t>https://github.com/ansible-community/lightspeed-analysis-framework</t>
    </r>
  </si>
  <si>
    <t>The Seven Sins: Security Smells in Infrastructure as Code Scripts</t>
  </si>
  <si>
    <t>https://ieeexplore.ieee.org/document/8812041</t>
  </si>
  <si>
    <t>SLIC - Security Linters for Infrastructure as Code</t>
  </si>
  <si>
    <t>3-1- Authentication &amp; Authorization, 3-2- Secrets Management, 3-4- Cryptography &amp; Integrity, 3-3- Network Security, 3- Security</t>
  </si>
  <si>
    <t>Pattern Matching, Rule-based checks</t>
  </si>
  <si>
    <t>https://doi.org/10.6084/m9.figshare.6943316</t>
  </si>
  <si>
    <t>Tortoise: Interactive system configuration repair</t>
  </si>
  <si>
    <t>https://ieeexplore.ieee.org/document/8115673/citations</t>
  </si>
  <si>
    <t>Tortoise</t>
  </si>
  <si>
    <t>6-2- Version control &amp; Compatibility, 4-1- Idempotency &amp; State management, 6- Maintability &amp; Documentation, 4- Operational Quality</t>
  </si>
  <si>
    <t>https://github.com/plasma-umass/Tortoise</t>
  </si>
  <si>
    <t>Dockerlive : A live development environment for Dockerfiles</t>
  </si>
  <si>
    <t>https://ieeexplore.ieee.org/document/9833145</t>
  </si>
  <si>
    <t>Dockerlive</t>
  </si>
  <si>
    <t>Docker</t>
  </si>
  <si>
    <t>4- Operational Quality, 2- Syntactic &amp; Linguistic Quality, 5- Performance &amp; Resource management, 7- Data &amp; Variable management</t>
  </si>
  <si>
    <t>Image building</t>
  </si>
  <si>
    <t>https://github.com/SoftwareForHumans/Dockerlive</t>
  </si>
  <si>
    <t>Short</t>
  </si>
  <si>
    <t>Code Smells in Infrastructure as Code</t>
  </si>
  <si>
    <t>https://ieeexplore.ieee.org/document/8590193</t>
  </si>
  <si>
    <t>foodcritic</t>
  </si>
  <si>
    <t>Chef, Puppet</t>
  </si>
  <si>
    <t>1- Structural Quality, 2- Syntactic &amp; Linguistic Quality</t>
  </si>
  <si>
    <t>Pattern Matching, Rule-based checks, AST traversal, Visitor Pattern</t>
  </si>
  <si>
    <t>RankC</t>
  </si>
  <si>
    <t>Towards Reliable Infrastructure as Code</t>
  </si>
  <si>
    <t>https://ieeexplore.ieee.org/document/10092598/citations#citations</t>
  </si>
  <si>
    <t>Securing Infrastructure as Code (IaC) through DevSecOps:A Comprehensive Risk Management Framework</t>
  </si>
  <si>
    <t>https://ieeexplore.ieee.org/document/10671452</t>
  </si>
  <si>
    <t>Design, Runtime</t>
  </si>
  <si>
    <t>Extensible Testing for Infrastructure as Code</t>
  </si>
  <si>
    <t>https://dl.acm.org/doi/10.1145/3618305.3623607</t>
  </si>
  <si>
    <t>Tests, Resource Graph - RG</t>
  </si>
  <si>
    <t>2 - Graph-Based Analyses, 5 - Testing &amp; Excution based</t>
  </si>
  <si>
    <t>K8s Pro Sentinel: Extend Secret Security in Kubernetes Cluster</t>
  </si>
  <si>
    <t>https://ieeexplore.ieee.org/document/10857769</t>
  </si>
  <si>
    <t>K8s Pro Sentinel</t>
  </si>
  <si>
    <t>3-2- Secrets Management, 3- Security</t>
  </si>
  <si>
    <t>https://github.com/kavinduxo/k8s-pro-sentinel</t>
  </si>
  <si>
    <t>Uncovering Threats in Container Systems: A Study on Misconfigured Container Components in the Wild</t>
  </si>
  <si>
    <t>https://ieeexplore.ieee.org/document/10788674</t>
  </si>
  <si>
    <t>Docker, Kubernetes</t>
  </si>
  <si>
    <t>Image building, Orchestration</t>
  </si>
  <si>
    <t>BlackBox</t>
  </si>
  <si>
    <t>Automatically Generating Dockerfiles via Deep Learning: Challenges and Promises</t>
  </si>
  <si>
    <t>https://ieeexplore.ieee.org/document/10169074</t>
  </si>
  <si>
    <t>2- Syntactic &amp; Linguistic Quality, 4- Operational Quality, 6- Maintability &amp; Documentation, 7- Data &amp; Variable management, 8- Control Flow &amp; Logic</t>
  </si>
  <si>
    <t>https://figshare.com/articles/dataset/Replication_Package_for_Automatically_Generating_Dockerfiles_via_Deep-Learning_Challenges_and_Promises_/20722396?file=37028938</t>
  </si>
  <si>
    <t>Assessing and Improving the Quality of Docker Artifacts</t>
  </si>
  <si>
    <t>https://ieeexplore.ieee.org/document/9978228</t>
  </si>
  <si>
    <t>2- Syntactic &amp; Linguistic Quality, 3- Security, 4- Operational Quality, 5- Performance &amp; Resource management, 6- Maintability &amp; Documentation</t>
  </si>
  <si>
    <t>AnsibleMetrics: A Python library for measuring Infrastructure-as-Code blueprints in Ansible</t>
  </si>
  <si>
    <t>https://www.sciencedirect.com/science/article/pii/S2352711020303460</t>
  </si>
  <si>
    <t>Ansible Metrics</t>
  </si>
  <si>
    <t>2-2- Syntax &amp; Formatting, 1-3- Code structure, 2- Syntactic &amp; Linguistic Quality, 1- Structural Quality</t>
  </si>
  <si>
    <t>https://github.com/ElsevierSoftwareX/SOFTX_2020_231</t>
  </si>
  <si>
    <t>Q3</t>
  </si>
  <si>
    <t>How good is your puppet? An empirically defined and validated quality model for puppet</t>
  </si>
  <si>
    <t>https://ieeexplore.ieee.org/document/8330206</t>
  </si>
  <si>
    <t>1-2- Modularity &amp; Organization, 1-3- Code structure, 2-2- Syntax &amp; Formatting, 4-1- Idempotency &amp; State management, 6-1- Code Readability, 8- Control Flow &amp; Logic</t>
  </si>
  <si>
    <t>AST traversal, Configuration mining, Rule-based checks, Statistical Learners</t>
  </si>
  <si>
    <t>2 - Graph-Based Analyses, 4 - Statistical and Learning-Based Methods, 1 - Rule-Based and Pattern-Matching Approaches</t>
  </si>
  <si>
    <t>https://github.com/evanderbent/PuppetSurveyData</t>
  </si>
  <si>
    <t>Empirical Study of the Docker Smells Impact on the Image Size</t>
  </si>
  <si>
    <t>https://dl.acm.org/doi/10.1145/3597503.3639143</t>
  </si>
  <si>
    <t>Parfum</t>
  </si>
  <si>
    <t>5-3- Lifecycle management, 5-1- Resource Optimization, 5- Performance &amp; Resource management</t>
  </si>
  <si>
    <t>AST traversal, Manual annotation, Pattern Matching</t>
  </si>
  <si>
    <r>
      <rPr/>
      <t xml:space="preserve">https://zenodo.org/records/10439580
</t>
    </r>
    <r>
      <rPr>
        <color rgb="FF1155CC"/>
        <u/>
      </rPr>
      <t>https://zenodo.org/records/10439571</t>
    </r>
  </si>
  <si>
    <t>The Docker Hub Image Inheritance Network: Construction and Empirical Insights</t>
  </si>
  <si>
    <t>https://ieeexplore.ieee.org/document/10356403</t>
  </si>
  <si>
    <t>1- Structural Quality, 1-2- Modularity &amp; Organization, 9-1- Container &amp; Orchestration, 3- Security, 9- Domain Specific Issues</t>
  </si>
  <si>
    <t>Program Dependncy Graph - PDG, Statistical Learners</t>
  </si>
  <si>
    <t>2 - Graph-Based Analyses, 4 - Statistical and Learning-Based Methods</t>
  </si>
  <si>
    <t>https://zenodo.org/records/8119368</t>
  </si>
  <si>
    <t>Detecting and Resolving Coupling-Related Infrastructure as Code Based Architecture Smells in Microservice Deployments</t>
  </si>
  <si>
    <t>https://ieeexplore.ieee.org/document/10254973</t>
  </si>
  <si>
    <t xml:space="preserve">  </t>
  </si>
  <si>
    <t>Kubernetes, Docker, Terraform, Helm</t>
  </si>
  <si>
    <t>1-2- Modularity &amp; Organization, 1-3- Code structure, 1- Structural Quality</t>
  </si>
  <si>
    <t>Project, Script</t>
  </si>
  <si>
    <t>Provisioning, Orchestration, Image building</t>
  </si>
  <si>
    <t>Program Dependncy Graph - PDG, Pattern Matching, Rewriting / Refactoring</t>
  </si>
  <si>
    <t>https://zenodo.org/records/7692017</t>
  </si>
  <si>
    <t>Characterizing Static Analysis Alerts for Terraform Manifests: An Experience Report</t>
  </si>
  <si>
    <t>https://ieeexplore.ieee.org/document/10305615</t>
  </si>
  <si>
    <t>3-4- Cryptography &amp; Integrity, 3-1- Authentication &amp; Authorization, 3-3- Network Security, 4-2- Error Handling &amp; Reliability, 4-3- Dependecies &amp; integration, 6-1- Code Readability, 4- Operational Quality, 3- Security, 6- Maintability &amp; Documentation</t>
  </si>
  <si>
    <t>Data Dependecy Graph - DDG, Manual annotation, Pattern Matching</t>
  </si>
  <si>
    <t>Not ranked</t>
  </si>
  <si>
    <t>Co-evolution of Infrastructure and Source Code - An Empirical Study</t>
  </si>
  <si>
    <t>https://dl.acm.org/doi/10.5555/2820518.2820527</t>
  </si>
  <si>
    <t>Puppet, Chef</t>
  </si>
  <si>
    <t>6- Maintability &amp; Documentation</t>
  </si>
  <si>
    <t>4 - Statistical and Learning-Based Methods, 1 - Rule-Based and Pattern-Matching Approaches</t>
  </si>
  <si>
    <t>https://github.com/yujuanjiang/OpenStackClassificationList</t>
  </si>
  <si>
    <t>LLM Agentic Workflow for Automated Vulnerability Detection and Remediation in Infrastructure-as-Code</t>
  </si>
  <si>
    <t>https://ieeexplore.ieee.org/abstract/document/10965635</t>
  </si>
  <si>
    <t>Assessing the adoption of security policies by developers in terraform across different cloud providers</t>
  </si>
  <si>
    <t>https://doi.org/10.1007/s10664-024-10610-0</t>
  </si>
  <si>
    <t>https://github.com/averdet/master-terraform-sec-adoption</t>
  </si>
  <si>
    <t>“Through the looking-glass …” An empirical study on blob infrastructure blueprints in the Topology and Orchestration Specification for Cloud Applications</t>
  </si>
  <si>
    <t>https://onlinelibrary.wiley.com/doi/abs/10.1002/smr.2533</t>
  </si>
  <si>
    <t>wiley</t>
  </si>
  <si>
    <t>radon-tosca-metrics</t>
  </si>
  <si>
    <t>TOSCA</t>
  </si>
  <si>
    <t>https://github.com/jade-lab/tosca-smells</t>
  </si>
  <si>
    <t/>
  </si>
  <si>
    <t>Pattern Matching</t>
  </si>
  <si>
    <t>Visitor Pattern</t>
  </si>
  <si>
    <t>AST Traversal</t>
  </si>
  <si>
    <t>Control Flow Graph</t>
  </si>
  <si>
    <t>Data Dependecy Graph - DDG</t>
  </si>
  <si>
    <t>5- Performance &amp; Resource management</t>
  </si>
  <si>
    <t>RAG</t>
  </si>
  <si>
    <t>7- Data &amp; Variable management</t>
  </si>
  <si>
    <t>NLP</t>
  </si>
  <si>
    <t>8- Control Flow &amp; Logic</t>
  </si>
  <si>
    <t>5 - Testing Methods</t>
  </si>
  <si>
    <t>Docker hub</t>
  </si>
  <si>
    <t>Kaggle</t>
  </si>
  <si>
    <t>Column 1</t>
  </si>
  <si>
    <t>IaC Layer</t>
  </si>
  <si>
    <t>Publication Year</t>
  </si>
  <si>
    <t>Author</t>
  </si>
  <si>
    <t>Url</t>
  </si>
  <si>
    <t>Abstract Note</t>
  </si>
  <si>
    <t>Manual Tags</t>
  </si>
  <si>
    <t>Automatic Tags</t>
  </si>
  <si>
    <t>Conference Name</t>
  </si>
  <si>
    <t>Dell’Immagine, Giorgio; Soldani, Jacopo; Brogi, Antonio</t>
  </si>
  <si>
    <t>As microservice-based architectures are increasingly adopted, microservices security has become a crucial aspect to consider for IT businesses. Starting from a set of “security smells” for microservice applications that were recently proposed in the literature, we enable the automatic detection of such smells in microservice applications deployed with Kubernetes. We first introduce possible analysis techniques to automatically detect security smells in Kubernetes-deployed microservices. We then demonstrate the practical applicability of the proposed techniques by introducing KubeHound, an extensible prototype tool for automatically detecting security smells in microservice applications, and which already features a selected subset of the discussed analyses. We finally show that KubeHound can effectively detect instances of security smells in microservice applications by means of controlled experiments and by applying it to existing, third-party applications.</t>
  </si>
  <si>
    <t>Kubernetes; microservices; security; smell detection</t>
  </si>
  <si>
    <t>Rahman, Akond; Mahdavi-Hezaveh, Rezvan; Williams, Laurie</t>
  </si>
  <si>
    <t>A systematic mapping study of infrastructure as code research</t>
  </si>
  <si>
    <t>https://www.sciencedirect.com/science/article/pii/S0950584918302507</t>
  </si>
  <si>
    <t>Context: Infrastructure as code (IaC) is the practice to automatically configure system dependencies and to provision local and remote instances. Practitioners consider IaC as a fundamental pillar to implement DevOps practices, which helps them to rapidly deliver software and services to end-users. Information technology (IT) organizations, such as GitHub, Mozilla, Facebook, Google and Netflix have adopted IaC. A systematic mapping study on existing IaC research can help researchers to identify potential research areas related to IaC, for example defects and security flaws that may occur in IaC scripts. Objective: The objective of this paper is to help researchers identify research areas related to infrastructure as code (IaC) by conducting a systematic mapping study of IaC-related research. Method: We conduct our research study by searching five scholar databases. We collect a set of 31,498 publications by using seven search strings. By systematically applying inclusion and exclusion criteria, which includes removing duplicates and removing non-English and non peer-reviewed publications, we identify 32 publications related to IaC. We identify topics addressed in these publications by applying qualitative analysis. Results: We identify four topics studied in IaC-related publications: (i) framework/tool for infrastructure as code; (ii) adoption of infrastructure as code; (iii) empirical study related to infrastructure as code; and (iv) testing in infrastructure as code. According to our analysis, 50.0% of the studied 32 publications propose a framework or tool to implement the practice of IaC or extend the functionality of an existing IaC tool. Conclusion: Our findings suggest that framework or tools is a well-studied topic in IaC research. As defects and security flaws can have serious consequences for the deployment and development environments in DevOps, we observe the need for research studies that will study defects and security flaws for IaC.</t>
  </si>
  <si>
    <t>Configuration as code; Configuration script; Continuous deployment; Devops; Infrastructure as code; Software engineering; Systematic mapping study</t>
  </si>
  <si>
    <t>Nasiri, Roya; Kumara, Indika; Tamburri, Damian Andrew; van den Heuvel, Willem-Jan</t>
  </si>
  <si>
    <t>https://drive.google.com/file/d/101WCE65iQBGi4cWxln1_3Y2xKRb-2DUc/view?usp=sharing</t>
  </si>
  <si>
    <t>Infrastructure as Code (IaC) enables the management and provisioning of infrastructure using code instead of manual processes. While the IaC approach can simplify and automate infrastructure management, the configuration errors (i.e., misconfigurations) in the IaC scripts can significantly hinder achieving the benefits of the automation, incur undue costs, and leave the system faulty and insecure. In this paper, we present a taxonomy of IaC misconfigurations to assist practitioners and researchers in building tools for detecting misconfigurations. The user manuals of the IaC frameworks describe configuration parameters and their usage constraints, and provide recommendations on configuring certain parameters correctly. Hence, we systemically collected and analyzed 100 user manuals of the Ansible IaC language to compile a catalog of 25 configuration errors. We also developed a proof-of-concept tool for using the information in the user manuals to generate misconfiguration detection rules.</t>
  </si>
  <si>
    <t>Drosos, Georgios-Petros; Sotiropoulos, Thodoris; Alexopoulos, Georgios; Mitropoulos, Dimitris; Su, Zhendong</t>
  </si>
  <si>
    <t>When Your Infrastructure Is a Buggy Program: Understanding Faults in Infrastructure as Code Ecosystems</t>
  </si>
  <si>
    <t>https://dl.acm.org/doi/10.1145/3689799</t>
  </si>
  <si>
    <t>Modern applications have become increasingly complex and their manual installation and configuration is no longer practical. Instead, IT organizations heavily rely on Infrastructure as Code (IaC) technologies, to automate the provisioning, configuration, and maintenance of computing infrastructures and systems. IaC systems typically offer declarative, domain-specific languages (DSLs) that allow system administrators and developers to write high-level programs that specify the desired state of their infrastructure in a reliable, predictable, and documented fashion. Just like traditional programs, IaC software is not immune to faults, with issues ranging from deployment failures to critical misconfigurations that often impact production systems used by millions of end users. Surprisingly, despite its crucial role in global infrastructure management, the tooling and techniques for ensuring IaC reliability still have room for improvement. In this work, we conduct a comprehensive analysis of 360 bugs identified in IaC software within prominent IaC ecosystems including Ansible, Puppet, and Chef. Our work is the first in-depth exploration of bug characteristics in these widely-used IaC environments. Through our analysis we aim to understand: (1) how these bugs manifest, (2) their underlying root causes, (3) their reproduction requirements in terms of system state (e.g., operating system versions) or input characteristics, and (4) how these bugs are fixed. Based on our findings, we evaluate the state-of-the-art techniques for IaC reliability, identify their limitations, and provide a set of recommendations for future research. We believe that our study helps researchers to (1) better understand the complexity and peculiarities of IaC software, and (2) develop advanced tooling for more reliable and robust system configurations.</t>
  </si>
  <si>
    <t>Sokolowski, Daniel; Spielmann, David; Salvaneschi, Guido</t>
  </si>
  <si>
    <t>Infrastructure as Code (IaC) enables efficient deployment and operation, which are crucial to releasing software quickly. As setups can be complex, developers implement IaC programs in general-purpose programming languages like TypeScript and Python, using PL-IaC solutions like Pulumi and AWS CDK. The reliability of such IaC programs is even more relevant than in traditional software because a bug in IaC impacts the whole system. Yet, even though testing is a standard development practice, it is rarely used for IaC programs. For instance, in August 2022, less than 1 % of the public Pulumi IaC programs on GitHub implemented tests. Available IaC program testing techniques severely limit the development velocity or require much development effort. To solve these issues, we propose Automated Configuration Testing (ACT), a methodology to test IaC programs in many configurations quickly and with low effort. ACT automatically mocks all resource definitions in the IaC program and uses generator and oracle plugins for test generation and validation. We implement ACT in ProTI, a testing tool for Pulumi TypeScript with a type-based generator and oracle, and support for application specifications. Our evaluation with 6 081 programs from GitHub and artificial benchmarks shows that ProTI can directly be applied to existing IaC programs, quickly finds bugs where current techniques are infeasible, and enables reusing existing generators and oracles thanks to its pluggable architecture.</t>
  </si>
  <si>
    <t>Cloud computing; Codes; DevOps; Engines; fuzzing; Generators; infrastructure as code; Libraries; Property-based testing; Software; Testing</t>
  </si>
  <si>
    <t>Özdoğan, Erdal; Ceran, Onur; ÜSTÜNDAĞ, Mutlu</t>
  </si>
  <si>
    <t>Systematic Analysis of Infrastructure as Code Technologies</t>
  </si>
  <si>
    <t>https://dergipark.org.tr/tr/download/article-file/3463145</t>
  </si>
  <si>
    <t>“Infrastructure as Code” technologies are the network automation concept used in configuring network devices, allocating network resources, and deploying developed applications. By using machine-readable codes, various tasks that previously required time and effort can now be done dynamically with infrastructure as code tools. Although Infrastructure as Code is a technology that brings many advantages and is still at the beginning of its popularity, there are not enough resource in the literature. In this study, the key concepts of Infrastructure as Code technologies are discussed and infrastructure as code tools are systematically examined. The four most used Infrastructure as Code tools were examined in terms of management, language, data representation, code approach, stateful and stateless, architectural perspectives. Also, they were compared over these key concepts.</t>
  </si>
  <si>
    <t>RahmanAkond; ParninChris</t>
  </si>
  <si>
    <t>Despite being beneficial for managing computing infrastructure automatically, Puppet manifests are susceptible to security weaknesses, e.g., hard-coded secrets and use of weak cryptography algorithms. Adequate mitigation of security weaknesses in Puppet ...</t>
  </si>
  <si>
    <t>Eng, Kalvin; Hindle, Abram; Stroulia, Eleni</t>
  </si>
  <si>
    <t>http://arxiv.org/abs/2305.11293</t>
  </si>
  <si>
    <t>Software design patterns present general code solutions to common software design problems. Modern software systems rely heavily on containers for running their constituent service components. Yet, despite the prevalence of ready-to-use Docker service images ready to participate in multi-container service compositions of applications, developers do not have much guidance on how to compose their own Docker service orchestrations. Thus in this work, we curate a dataset of successful projects that employ Docker Compose as an orchestration tool to run multiple service containers; then, we engage in qualitative and quantitative analysis of Docker Compose configurations. The collection of data and analysis enables the identification and naming of repeating multi-container composition patterns that are used in numerous successful open-source projects, much like software design patterns. These patterns highlight how software systems are orchestrated in the real-world and can give examples to anybody wishing to compose their own service orchestrations. These contributions also advance empirical research in software engineering patterns as evidence is provided about how Docker Compose is used.</t>
  </si>
  <si>
    <t>Computer Science - Software Engineering</t>
  </si>
  <si>
    <t>Kwon, Sunjae; Lee, Sungu; Kim, Taehyoun; Ryu, Duksan; Baik, Jongmoon</t>
  </si>
  <si>
    <t>Edge-Cloud system requires massive infrastructures located in closer to the user to minimize latencies in handling Big data. Ansible is one of the most popular Infrastructure as Code (IaC) tools crucial for deploying these infrastructures of the Edge-cloud system. However, Ansible also consists of code, and its code quality is critical in ensuring the delivery of high-quality services within the Edge-Cloud system. On the other hand, the Large Langue Model (LLM) has performed remarkably on various Software Engineering (SE) tasks in recent years. One such task is Automated Program Repairing (APR), where LLMs assist developers in proposing code fixes for identified bugs. Nevertheless, prior studies in LLM-based APR have predominantly concentrated on widely used programming languages (PL), such as Java and C, and there has yet to be an attempt to apply it to Ansible. Hence, we explore the applicability of LLM-based APR on Ansible. We assess LLMs' performance (ChatGPT and Bard) on 58 Ansible script revision cases from Open Source Software (OSS). Our findings reveal promising prospects, with LLMs generating helpful responses in 70% of the sampled cases. Nonetheless, further research is necessary to harness this approach's potential fully.</t>
  </si>
  <si>
    <t>Ansible; automated program repairing; Bard; Big Data; Chatbots; Codes; Computer bugs; Computer languages; Edge-cloud; Java; large langue model; Task analysis</t>
  </si>
  <si>
    <t>Xu, Qingxin; Gao, Yu; Wei, Jun</t>
  </si>
  <si>
    <t>Kubernetes is the leading cluster management platform, and within Kubernetes, an operator is an application-specific program that leverages the Kubernetes API to automate operation tasks for managing an application deployed on a Kubernetes cluster. Users can declare a desired state for the managed cluster, specifying their configuration preferences. The operator program is responsible for reconciling the cluster’s actual state to align with the desired state. However, the complex, dynamic, and distributed nature of the overall system can introduce operator bugs, and lead to severe consequences, e.g., outages and undesired cluster state. In this paper, we conduct the first comprehensive study on 210 operator bugs from 36 Kubernetes operators. For all the studied bugs, we investigate their root causes, manifestations, impacts and fixing. Our study reveals many interesting findings that can guide the detection and testing of operator bugs, as well as the development of more reliable operators.</t>
  </si>
  <si>
    <t>Opdebeeck, Ruben; Zerouali, Ahmed; De Roover, Coen</t>
  </si>
  <si>
    <t>Infrastructure as Code is the practice of developing and maintaining computing infrastructure through executable source code. Unfortunately, IaC has also brought about new cyber attack vectors. Prior work has therefore proposed static analyses that detect security smells in Infrastructure as Code files. However, they have so far remained at a shallow level, disregarding the control and data flow of the scripts under analysis, and may lack awareness of specific syntactic constructs. These limitations inhibit the quality of their results. To address these limitations, in this paper, we present GASEL, a novel security smell detector for the Ansible IaC language. It uses graph queries on program dependence graphs to detect 7 security smells. Our evaluation on an oracle of 243 real-world security smells and comparison against two state-of-the-art security smell detectors shows that awareness of syntax, control flow, and data flow enables our approach to substantially improve both precision and recall. We further question whether the additional effort required to develop and run such an approach is justified in practice. To this end, we investigate the prevalence of indirection through control and data flow in security smells across more than 15 000 Ansible scripts. We find that over 55% of security smells contain data-flow indirection, and over 32% require a whole-project analysis to detect. These findings motivate the need for deeper static analysis tools to detect security vulnerabilities in IaC.</t>
  </si>
  <si>
    <t>security; code smells; Ansible; Codes; Detectors; empirical study; Infrastructure as Code; program dependence graph; Security; Software; Source coding; Static analysis; Syntactics</t>
  </si>
  <si>
    <t>2023 IEEE/ACM 20th International Conference on Mining Software Repositories (MSR)</t>
  </si>
  <si>
    <t>Bessghaier, Narjes; Begoug, Mahi; Mebarki, Chemseddine; Ouni, Ali; Sayagh, Mohammed; Mkaouer, Mohamed Wiem</t>
  </si>
  <si>
    <t>In modern software systems, Infrastructure-as-Code (IaC) tools play a pivotal role in automating the management of various infrastructure resources such as networks, databases, and services. This automation is done through code-based specification files, commonly known as IaC files. Similarly to other code files, IaC files can suffer from violations of established implementation and design standards, i.e., IaC smells. Although prior research has studied various aspects of traditional smells in non-IaC artifacts, there is little knowledge of how IaC smells are prevalent, co-occurring, and impacting the change and defect proneness of IaC code. To fill this gap, we conduct an empirical study encompassing 82 Puppet-based open-source projects. Our investigation focused on 12 types of IaC smells in both implementation and design levels. Our findings reveal that IaC smells do not manifest uniformly, as IaC smells that are particularly associated with modularity issues, exhibit high prevalence rates across projects. Additionally, we found that 74% of IaC files are smelly and over 52% of the smelly IaC files have at least two co-occurring IaC smells. Furthermore, our findings highlight that, on average, smelly IaC files are modified nearly 3.8 times, in terms of number of commits, more frequently than non-smelly IaC files. Furthermore, smelly IaC files are found to be 3.1 times more prone to larger code changes, in terms of code churn, than non-smelly IaC files. Additionally, we found that smelly IaC files are 3.3 times more prone to the introduction of defects that are likely to persist in 1.65 more commits before being fixed than non-smelly IaC files. These findings advocate developers to be more aware of IaC smells in their projects and consider their correction.</t>
  </si>
  <si>
    <t>Software systems; Codes; Automation; Code change; Computer bugs; Databases; Defects-proneness; Design standards; Encapsulation; IaC smells; Infrastructure-as-Code (IaC); Puppet</t>
  </si>
  <si>
    <t>2024 IEEE International Conference on Software Analysis, Evolution and Reengineering (SANER)</t>
  </si>
  <si>
    <t>Chiari, Michele; De Pascalis, Michele; Pradella, Matteo</t>
  </si>
  <si>
    <t>Static Analysis of Infrastructure as Code: a Survey</t>
  </si>
  <si>
    <t>https://ieeexplore.ieee.org/document/9779848/citations?tabFilter=papers#citations</t>
  </si>
  <si>
    <t>The increasing use of Infrastructure as Code (IaC) in DevOps leads to benefits in speed and reliability of deployment operation, but extends to infrastructure challenges typical of software systems. IaC scripts can contain defects that result in security and reliability issues in the deployed infrastructure: techniques for detecting and preventing them are needed. We analyze and survey the current state of research in this respect by conducting a literature review on static analysis techniques for IaC. We describe analysis techniques, defect categories and platforms targeted by tools in the literature.</t>
  </si>
  <si>
    <t>Bibliographies; cloud computing; Codes; Conferences; infrastructure as code; model checking; Software architecture; Software reliability; Software systems; static analysis; Static analysis; survey; verification</t>
  </si>
  <si>
    <t>2022 IEEE 19th International Conference on Software Architecture Companion (ICSA-C)</t>
  </si>
  <si>
    <t>TerraDS: A Dataset for Terraform HCL Programs (MSR 2025 - Data and Tool Showcase Track) - MSR 2025</t>
  </si>
  <si>
    <t>https://2025.msrconf.org/details/msr-2025-data-and-tool-showcase-track/12/TerraDS-A-Dataset-for-Terraform-HCL-Programs</t>
  </si>
  <si>
    <t>Infrastructure as Code (IaC) aims to automate infrastructure management by enabling the definition of infrastructure configurations in programs, rather than manually configuring hardware or cloud resources. Terraform is one of the most widely used IaC tools, gaining significant traction in recent years, as highlighted by its large and active user community and widespread adoption in both open-source and enterprise environments. Terraform’s code is written in the HashiCorp Configuration Language (HCL), which defines the infrastructure in a declarative manner. Despite the widespread adoption of Terraform, there is no large-scale dataset available for researchers to study IaC Terraform programs systematically. To address this gap, we present TerraDS, the first dataset of publicly available Terraform programs written in HCL. TerraDS contains the HCL code and the metadata of 67,360 open source repositories with permissive open-source licenses. The dataset includes 279,344 Terraform modules with 1,773,991 registered  resources, all compiled into a reusable archive (~335 MB).</t>
  </si>
  <si>
    <t>Infrastructure-as-Code (IaC) is an emerging software engineering practice that leverages source code to facilitate automated configuration of software systems' infrastructure. IaC files are typically complex, containing hundreds of lines of code and dependencies, making them prone to defects, which can result in breaking online services at scale. To help developers early identify and fix IaC defects, research efforts have introduced IaC defect prediction models at the file level. However, the granularity of the proposed approaches remains coarse-grained, requiring developers to inspect hundreds of lines of code in a file, while only a small fragment of code is defective. To alleviate this issue, we introduce a machine-learning-based approach to predict IaC defects at a fine-grained level, focusing on IaC blocks, i.e., small code units that encapsulate specific behaviours within an IaC file. We trained various machine learning algorithms based on a mixture of code, process, and change-level metrics. We evaluated our approach on 19 open-source projects that use Terraform, a widely used IaC tool. The results indicated that there is no single algorithm that consistently outperforms the others in 19 projects. Overall, among the six algorithms, we observed that the LightGBM model achieved a higher average of 0.21 in terms of MCC and 0.71 in terms of AUC. Models analysis reveals that the developer's experience and the relative number of added lines tend to be the most important features. Additionally, we found that blocks belonging to the most frequent types are more prone to defects. Our defect prediction models have also shown sensitivity to concept drift, indicating that IaC practitioners should regularly retrain their models.</t>
  </si>
  <si>
    <t>Begoug, Mahi; Bessghaier, Narjes; Ouni, Ali; AlOmar, Eman Abdullah; Mkaouer, Mohamed Wiem</t>
  </si>
  <si>
    <t>What Do Infrastructure-as-Code Practitioners Discuss: An Empirical Study on Stack Overflow</t>
  </si>
  <si>
    <t>https://ieeexplore.ieee.org/document/10304847</t>
  </si>
  <si>
    <t>Background. Infrastructure-as-Code (IaC) is an emerging practice to manage cloud infrastructure resources for software systems. Modern software development has evolved to embrace IaC as a best practice for consistently provisioning and managing infrastructure using various tools such as Terraform and Ansible. However, recent studies highlighted that developers still encounter various challenges with IaC tools. Aims. We aim in this paper to understand the different challenges that developers encounter with IaC and analyze the trend of seeking assistance on Q&amp;A platforms in the context of IaC. To this end, we conduct a large-scale empirical study investigating developers' discussions in Stack Overflow. Method. We first collect IaC-relevant tags on Stack Overflow, constituting a dataset that comprises 52,692 questions and 64,078 answers. Then, we group questions into specific topics using the Latent Dirichlet Allocation (LDA) method, which we optimize using a Genetic Algorithm (GA) for parameter's fine-tuning. Finally, to gain better insights, we analyze the identified topics based on different criteria such as popularity and difficulty. Results. Our findings reveal an average yearly increase of 150% in terms of IaC-related questions and 135% in terms of users between 2011 and 2022. Furthermore, we observe that IaC questions revolve around seven main topics: server configuration, policy configuration, networking, deployment pipelines, variable management, templating, and file management. Notably, we found that server configuration and file management are the most popular topics, i.e., the most discussed among IaC developers, while the deployment pipelines and templating topics are the most difficult. Conclusions. Our results shed light on IaC challenges that are often encountered by developers on popular Q&amp;A platforms. These findings reveal important implications for practitioners seeking better support for IaC tools in real-world settings and for researchers to better understand the IaC community needs and further investigate IaC in different aspects.</t>
  </si>
  <si>
    <t>Best practices; Software systems; Infrastructure-as-Code (IaC); Market research; Developers Discussions; Pipelines; Resource management; Servers; Software measurement; Stack Overflow; Topic Modeling</t>
  </si>
  <si>
    <t>2023 ACM/IEEE International Symposium on Empirical Software Engineering and Measurement (ESEM)</t>
  </si>
  <si>
    <t>Cannavacciuolo, Cecilio; Mariani, Leonardo</t>
  </si>
  <si>
    <t>Setting up a reliable and automated testing environment for cloud systems can be challenging due to the many issues that might compromise the stability of the deployments, such as poorly configured services and faulty infrastructure scripts. Test failures due to deployment procedures that have not terminated correctly may cause a significant waste of effort, resources, and time to organizations. Smoke testing can be used to design test suites that can be quickly executed to check if a system under test is operational before running any other test suite, which is executed only once the smoke test cases pass. Indeed, smoke testing can help prevent the generation of spurious test failures that would not be worth inspecting. So far, the design of smoke test suites has been entirely left to the intuition of testers, who may apply arbitrary and potentially weak criteria for their design. This paper addresses this issue by approaching smoke testing of cloud applications systematically. In particular, it introduces a reference model and nine adequacy criteria that can help practitioners design effective smoke test suites for their cloud systems. The assessment of smoke test suites satisfying the nine adequacy criteria on 60 versions of two industrial systems provides evidence of the trade-offs between the cost and the failure detection capability of the criteria.</t>
  </si>
  <si>
    <t>build verification testing; cloud testing; Conferences; Costs; flaky tests; kubernetes; microservices; Organizations; Reliability engineering; smoke testing; Software testing; Stability criteria; Systematics; testing distributed systems</t>
  </si>
  <si>
    <t>2022 IEEE Conference on Software Testing, Verification and Validation (ICST)</t>
  </si>
  <si>
    <t>Sokolowski, Daniel; Salvaneschi, Guido</t>
  </si>
  <si>
    <t>Modern Infrastructure as Code (IaC) programs are increasingly complex and much closer to traditional software than to simple configuration scripts. Their reliability is crucial because their failure prevents the deployment of applications, and incorrect behavior can introduce malfunction and severe security issues. Yet, software engineering tools to develop reliable programs, such as testing and verification, are barely used in IaC. In fact, we observed that developers mainly rely on integration testing, a slow and expensive practice that can increase confidence in end-to-end functionality but is infeasible to systematically test IaC programs in various configurations—which is required to ensure robustness. On the other hand, fast testing techniques, such as unit testing, are cumbersome with IaC programs because, today, they require significant coding overhead while only providing limited confidence.To solve this issue, we envision the automated testing tool ProTI, reducing the manual overhead and boosting confidence in the test results. ProTI embraces modern unit testing techniques to test IaC programs in many different configurations. Out of the box, ProTI is a fuzzer for Pulumi TypeScript IaC programs, randomly testing the program in many different configurations for termination, configuration correctness, and existing policy compliance. Then developers can add specifications to their program to guide random-based value generation, test additional properties, and add further mocking, making ProTI a property-based testing tool. Lastly, we aim at automatically verifying IaC-specific properties, e.g., access paths between resources.</t>
  </si>
  <si>
    <t>Codes; Infrastructure as Code; Software; Market research; Software architecture; Writing; Reliability engineering; Robustness; Cloud Engineering; Fuzzing; Property-based Testing; Verification</t>
  </si>
  <si>
    <t>2023 IEEE 20th International Conference on Software Architecture Companion (ICSA-C)</t>
  </si>
  <si>
    <t>Vassallo, Carmine; Proksch, Sebastian; Jancso, Anna; Gall, Harald C.; Di Penta, Massimiliano</t>
  </si>
  <si>
    <t>Configuration smells in continuous delivery pipelines: a linter and a six-month study on GitLab</t>
  </si>
  <si>
    <t>https://dl.acm.org/doi/10.1145/3368089.3409709</t>
  </si>
  <si>
    <t>An effective and efficient application of Continuous Integration (CI) and Delivery (CD) requires software projects to follow certain principles and good practices. Configuring such a CI/CD pipeline is challenging and error-prone. Therefore, automated linters have been proposed to detect errors in the pipeline. While existing linters identify syntactic errors, detect security vulnerabilities or misuse of the features provided by build servers, they do not support developers that want to prevent common misconfigurations of a CD pipeline that potentially violate CD principles (“CD smells”). To this end, we propose CD-Linter, a semantic linter that can automatically identify four different smells in pipeline configuration files. We have evaluated our approach through a large-scale and long-term study that consists of (i) monitoring 145 issues (opened in as many open-source projects) over a period of 6 months, (ii) manually validating the detection precision and recall on a representative sample of issues, and (iii) assessing the magnitude of the observed smells on 5,312 open-source projects on GitLab. Our results show that CD smells are accepted and fixed by most of the developers and our linter achieves a precision of 87% and a recall of 94%. Those smells can be frequently observed in the wild, as 31% of projects with long configurations are affected by at least one smell.</t>
  </si>
  <si>
    <t>Sokolowski, Daniel</t>
  </si>
  <si>
    <t>Modern DevOps organizations require a high degree of automation to achieve software stability at frequent changes. Further, there is a need for flexible, timely reconfiguration of the infrastructure, e.g., to use pay-per-use infrastructure efficiently based on application load. Infrastructure as Code (IaC) is the DevOps tool to automate infrastructure. However, modern static IaC solutions only support infrastructures that are deployed and do not change afterward. To implement infrastructures that change dynamically over time, static IaC programs have to be (updated and) re-run, e.g., in a CI/CD pipeline, or configure an external orchestrator that implements the dynamic behavior, e.g., an autoscaler or Kubernetes operator. Both do not capture the dynamic behavior in the IaC program and prevent analyzing and testing the infrastructure configuration jointly with its dynamic behavior. To fill this gap, we envision dynamic IaC, which augments static IaC with the ability to define dynamic behavior within the IaC program. In contrast to static IaC programs, dynamic IaC programs run continuously. They re-evaluate program parts that depend on external signals when these change and automatically adjust the infrastructure accordingly. We implement DIaC as the first dynamic IaC solution and demonstrate it in two realistic use cases of broader relevance. With dynamic IaC, ensuring the program’s correctness is even harder than for static IaC because programs may define many target configurations in contrast to only a few. However, for this reason, it is also more critical. To solve this issue, we propose automated, specialized property-based testing for IaC programs and implement it in ProTI.</t>
  </si>
  <si>
    <t>Testing practices for infrastructure as code | Proceedings of the 1st ACM SIGSOFT International Workshop on Languages and Tools for Next-Generation Testing</t>
  </si>
  <si>
    <t>https://dl.acm.org/doi/10.1145/3416504.3424334</t>
  </si>
  <si>
    <t>Infrastructure as code (IaC) helps practitioners to rapidly deploy software services to end-users. Despite reported benefits, IaC scripts are susceptible to defects. Defects in IaC scripts can cause serious consequences, for example, creating large-scale outages similar to the Amazon Web Services (AWS) incident in 2017. The prevalence of defects in IaC scripts necessitates practitioners to implement IaC testing and be aware of IaC testing practices. A synthesis of IaC testing practices can enable practitioners in early mitigation of IaC defects and also help researchers to identify potential research avenues. The goal of this paper is to help practitioners improve the quality of infrastructure as code (IaC) scripts by identifying a set of testing practices for IaC scripts. We apply open coding on 50 Internet artifacts, such as blog posts to derive IaC testing practices. We identify six testing practices that include behavior-focused test coverage, the practice of measuring coverage of IaC test cases in terms of expected behavior. We conclude our paper by discussing how practitioners and researchers can leverage our derived list of testing practices for IaC.</t>
  </si>
  <si>
    <t>Infrastructure-as-Code (IaC) is a technology that enables the management and distribution of infrastructure through code instead of manual processes. In 2020, Palo Alto Network’s Unit 42 announced the discovery of over 199K vulnerable IaC templates through their “Cloud Threat” Report. This report highlights the importance of tools to prevent vulnerabilities from reaching production. Unfortunately, we observed through a comprehensive study that a security linter for IaC scripts is not reliable yet—high false positive rates. Our approach to tackling this problem was to leverage community expertise to improve the precision of this tool. More precisely, we interviewed professional developers to collect their feedback on the root causes of imprecision of the state-of-the-art security linter for Puppet. From that feedback, we developed a linter adjusting 7 rules of an existing linter ruleset and adding 3 new rules. We conducted a new study with 131 practitioners, which helped us improve the tool’s precision significantly and achieve a final precision of 83%. An important takeaway from this paper is that obtaining professional feedback is fundamental to improving the rules’ precision and extending the rulesets, which is critical for the usefulness and adoption of lightweight tools, such as IaC security linters.</t>
  </si>
  <si>
    <t>Bhuiyan, Farzana Ahamed; Rahman, Akond</t>
  </si>
  <si>
    <t>Context: Insecure coding patterns (ICPs), such as hard-coded passwords can be inadvertently introduced in infrastructure as code (IaC) scripts, providing malicious users the opportunity to attack provisioned computing infrastructure. As performing code reviews is resource-intensive, a characterization of co-located ICPs, i.e., ICPs that occur together in a script can help practitioners to prioritize their review efforts and mitigate ICPs in IaC scripts. Objective: The goal of this paper is to help practitioners in prioritizing code review efforts for infrastructure as code (IaC) scripts by conducting an empirical study of co-located insecure coding patterns in IaC scripts. Methodology: We conduct an empirical study with 1613, 2764 and 2845 Puppet scripts respectively collected from three organizations namely, Mozilla, Openstack, and Wikimedia. We apply association rule mining to identify co-located ICPs in IaC scripts. Results: We observe 17.9%, 32.9%, and 26.7% of the scripts to include colocated ICPs respectively, for Mozilla, Openstack, and Wikimedia. The most frequent co-located ICP category is hard-coded secret and suspicious comment. Conclusion: Practitioners can prioritize code review efforts for IaC scripts by reviewing scripts that include co-located ICPs.</t>
  </si>
  <si>
    <t>security; Measurement; Tools; empirical study; Security; Software; devops; infrastructure as code; puppet; devsecops; co-location; configuration script; Correlation; Encoding; insecure coding pattern; IP networks</t>
  </si>
  <si>
    <t>2020 35th IEEE/ACM International Conference on Automated Software Engineering Workshops (ASEW)</t>
  </si>
  <si>
    <t>Sokolowski, Daniel; https://orcid.org/0000-0003-2911-8304; View Profile; Spielmann, David; https://orcid.org/0009-0004-1715-2059; View Profile; Salvaneschi, Guido; https://orcid.org/0000-0002-9324-8894; View Profile</t>
  </si>
  <si>
    <t>Infrastructure as Code (IaC) programs are written in imperative programming languages like Python or TypeScript while declaratively defining the target state of software deployments, which the IaC solution then sets up, e.g., Pulumi and AWS CDK. Through a repository mining study and analysis, we noticed that testing IaC programs poses a dilemma: current techniques are either slow and expensive or require prohibitively high development effort. To solve this issue, we introduce Automated Configuration Testing (ACT), enabling efficient testing with low development effort. ACT automates the tedious aspects of unit testing IaC programs and is extensible through a plugin system for test generators and oracles. ACT is already effective with simple type-based plugins, and leveraging existing giants, i.e., advanced test generation and oracle techniques, in new plugins will further boost its effectiveness.</t>
  </si>
  <si>
    <t>DevOps; infrastructure as code; fuzzing; property-based testing</t>
  </si>
  <si>
    <t>Sahoo, Priyam; Pujar, Saurabh; Nalawade, Ganesh; Gebhardt, Richard; Mandel, Louis; Buratti, Luca</t>
  </si>
  <si>
    <t>https://ieeexplore.ieee.org/document/10764992</t>
  </si>
  <si>
    <t>The availability of Large Language Models (LLMs) which can generate code, has made it possible to create tools that improve developer productivity. Integrated development environments or IDEs which developers use to write software are often used as an interface to interact with LLMs. Although many such tools have been re-leased, almost all of them focus on general-purpose programming languages. Domain-specific languages, such as those crucial for Information Technology (IT) automation, have not received much attention. Ansible is one such YAML-based IT automation-specific language. Ansible Lightspeed is an LLM-based service designed explicitly to generate Ansible YAML, given natural language prompt.In this paper, we present the design and implementation of the Ansible Lightspeed service. We then evaluate its utility to developers using diverse indicators, including extended utilization, analysis of user edited suggestions, as well as user sentiments analysis. The evaluation is based on data collected for 10,696 real users including 3,910 returning users. The code for Ansible Lightspeed service and the analysis framework is made available for others to use.To our knowledge, our study is the first to involve thousands of users of code assistants for domain-specific languages. We are also the first code completion tool to present N-Day user retention figures, which is 13.66% on Day 30. We propose an improved version of user acceptance rate, called Strong Acceptance rate, where a suggestion is considered accepted only if less than 50% of it is edited and these edits do not change critical parts of the suggestion. By focusing on Ansible, Lightspeed is able to achieve a strong acceptance rate of 49.08% for multi-line Ansible task suggestions. With our findings we provide insights into the effectiveness of small, dedicated models in a domain-specific context. We hope this work serves as a reference for software engineering and machine learning researchers exploring code completion.</t>
  </si>
  <si>
    <t>Software engineering; Codes; Software; Automation; Large language models; ansible; Machine learning; Natural languages; code completion; Domain specific languages; generative models; ide; large language models; Productivity; Sentiment analysis; user study</t>
  </si>
  <si>
    <t>2024 39th IEEE/ACM International Conference on Automated Software Engineering (ASE)</t>
  </si>
  <si>
    <t>Rahman, Akond; Parnin, Chris; Williams, Laurie</t>
  </si>
  <si>
    <t>Practitioners use infrastructure as code (IaC) scripts to provision servers and development environments. While developing IaC scripts, practitioners may inadvertently introduce security smells. Security smells are recurring coding patterns that are indicative of security weakness and can potentially lead to security breaches. The goal of this paper is to help practitioners avoid insecure coding practices while developing infrastructure as code (IaC) scripts through an empirical study of security smells in IaC scripts. We apply qualitative analysis on 1,726 IaC scripts to identify seven security smells. Next, we implement and validate a static analysis tool called Security Linter for Infrastructure as Code scripts (SLIC) to identify the occurrence of each smell in 15,232 IaC scripts collected from 293 open source repositories. We identify 21,201 occurrences of security smells that include 1,326 occurrences of hard-coded passwords. We submitted bug reports for 1,000 randomly-selected security smell occurrences. We obtain 212 responses to these bug reports, of which 148 occurrences were accepted by the development teams to be fixed. We observe security smells can have a long lifetime, e.g., a hard-coded secret can persist for as long as 98 months, with a median lifetime of 20 months.</t>
  </si>
  <si>
    <t>Tools; Software; Static analysis; Encoding; Servers; devops, devsecops, empirical study, infrastructure as code, puppet, security, smell, static analysis; Password</t>
  </si>
  <si>
    <t>2019 IEEE/ACM 41st International Conference on Software Engineering (ICSE)</t>
  </si>
  <si>
    <t>Weiss, Aaron; Guha, Arjun; Brun, Yuriy</t>
  </si>
  <si>
    <t>System configuration languages provide powerful abstractions that simplify managing large-scale, networked systems. Thousands of organizations now use configuration languages, such as Puppet. However, specifications written in configuration languages can have bugs and the shell remains the simplest way to debug a misconfigured system. Unfortunately, it is unsafe to use the shell to fix problems when a system configuration language is in use: a fix applied from the shell may cause the system to drift from the state specified by the configuration language. Thus, despite their advantages, configuration languages force system administrators to give up the simplicity and familiarity of the shell. This paper presents a synthesis-based technique that allows administrators to use configuration languages and the shell in harmony. Administrators can fix errors using the shell and the technique automatically repairs the higher-level specification written in the configuration language. The approach (1) produces repairs that are consistent with the fix made using the shell; (2) produces repairs that are maintainable by minimizing edits made to the original specification; (3) ranks and presents multiple repairs when relevant; and (4) supports all shells the administrator may wish to use. We implement our technique for Puppet, a widely used system configuration language, and evaluate it on a suite of benchmarks under 42 repair scenarios. The top-ranked repair is selected by humans 76% of the time and the human-equivalent repair is ranked 1.31 on average.</t>
  </si>
  <si>
    <t>Organizations; Computer bugs; Maintenance engineering; Benchmark testing; Web servers</t>
  </si>
  <si>
    <t>2017 32nd IEEE/ACM International Conference on Automated Software Engineering (ASE)</t>
  </si>
  <si>
    <t>Cito, Jürgen; Leitner, Philipp; Fritz, Thomas; Gall, Harald C.</t>
  </si>
  <si>
    <t>The making of cloud applications: an empirical study on software development for the cloud</t>
  </si>
  <si>
    <t>https://dl.acm.org/doi/10.1145/2786805.2786826</t>
  </si>
  <si>
    <t>Cloud computing is gaining more and more traction as a deployment and provisioning model for software. While a large body of research already covers how to optimally operate a cloud system, we still lack insights into how professional software engineers actually use clouds, and how the cloud impacts development practices. This paper reports on the first systematic study on how software developers build applications for the cloud. We conducted a mixed-method study, consisting of qualitative interviews of 25 professional developers and a quantitative survey with 294 responses. Our results show that adopting the cloud has a profound impact throughout the software development process, as well as on how developers utilize tools and data in their daily work. Among other things, we found that (1) developers need better means to anticipate runtime problems and rigorously define metrics for improved fault localization and (2) the cloud offers an abundance of operational data, however, developers still often rely on their experience and intuition rather than utilizing metrics. From our findings, we extracted a set of guidelines for cloud development and identified challenges for researchers and tool vendors.</t>
  </si>
  <si>
    <t>Cito, Jürgen; Oliveira, Fábio; Leitner, Philipp; Nagpurkar, Priya; Gall, Harald C.</t>
  </si>
  <si>
    <t>Context-based analytics: establishing explicit links between runtime traces and source code</t>
  </si>
  <si>
    <t>https://dl.acm.org/doi/10.1109/ICSE-SEIP.2017.1</t>
  </si>
  <si>
    <t>Diagnosing problems in large-scale, distributed applications running in cloud environments requires investigating different sources of information to reason about application state at any given time. Typical sources of information available to developers and operators include log statements and other runtime information collected by monitors, such as application and system metrics. Just as importantly, developers rely on information related to changes to the source code and configuration files (program code) when troubleshooting. This information is generally scattered, and it is up to the troubleshooter to inspect multiple implicitly-connected fragments thereof. Currently, different tools need to be used in conjunction, e.g., log aggregation tools, source- code management tools, and runtime-metric dashboards, each requiring different data sources and workflows. Not surprisingly, diagnosing problems is a difficult proposition. In this paper, we propose Context-Based Analytics, an approach that makes the links between runtime information and program-code fragments explicit by constructing a graph based on an application-context model. Implicit connections between information fragments are explicitly represented as edges in the graph. We designed a framework for expressing application-context models and implemented a prototype. Further, we instantiated our prototype framework with an application-context model for two real cloud applications, one from IBM and another from a major telecommunications provider. We applied context-based analytics to diagnose two issues taken from the issue tracker of the IBM application and found that our approach reduced the effort of diagnosing these issues. In particular, context-based analytics decreased the number of required analysis steps by 48% and the number of needed inspected traces by 40% on average as compared to a standard diagnosis approach.</t>
  </si>
  <si>
    <t>Cito, Jürgen; Leitner, Philipp; Bosshard, Christian; Knecht, Markus; Mazlami, Genc; Gall, Harald C.</t>
  </si>
  <si>
    <t>PerformanceHat: augmenting source code with runtime performance traces in the IDE</t>
  </si>
  <si>
    <t>https://dl.acm.org/doi/10.1145/3183440.3183481</t>
  </si>
  <si>
    <t>Performance problems observed in production environments that have their origin in program code are immensely hard to localize and prevent. Data that can help solve such problems is usually found in external dashboards and is thus not integrated into the software development process. We propose an approach that augments source code with runtime traces to tightly integrate runtime performance traces into developer workflows. Our goal is to create operational awareness of performance problems in developers' code and contextualize this information to tasks they are currently working on. We implemented this approach as an Eclipse IDE plugin for Java applications that is available as an open source project on GitHub. A video of PerformanceHat in action is online: https://youtu.be/fTBBiylRhag</t>
  </si>
  <si>
    <t>Reis, David; Correia, Filipe F.</t>
  </si>
  <si>
    <t>The process of developing Dockerfiles is perceived by many developers as slow and based on trial-and-error, and it is hardly immediate to see the result of a change introduced into a Dockerfile. In this work we propose a plugin for Visual Studio Code, which we name Dockerlive, and that has the purpose of shortening the length of feedback loops. Namely, the plugin is capable of providing information to developers on a number of Dockerfile elements, as the developer is writing the Dockerfile. We achieve this through dynamic analysis of the resulting container, which the plugin builds and runs in the background.</t>
  </si>
  <si>
    <t>Cloud; Codes; Containers; Dockerfile; Feedback loop; IDE; Indexes; Live Programming; Visualization; Writing</t>
  </si>
  <si>
    <t>2022 IEEE Symposium on Visual Languages and Human-Centric Computing (VL/HCC)</t>
  </si>
  <si>
    <t>Gao, Jiechao; Wang, Haoyu; Shen, Haiying</t>
  </si>
  <si>
    <t>Machine Learning Based Workload Prediction in Cloud Computing</t>
  </si>
  <si>
    <t>https://ieeexplore.ieee.org/document/9209730</t>
  </si>
  <si>
    <t>As a widely used IT service, more and more companies shift their services to cloud datacenters. It is important for cloud service providers (CSPs) to provide cloud service resources with high elasticity and cost-effectiveness and then achieve good quality of service (QoS) for their clients. However, meeting QoS with cost-effective resource is a challenging problem for CSPs because the workloads of Virtual Machines (VMs) experience variation over time. It is highly necessary to provide an accurate VMs workload prediction method for resource provisioning to efficiently manage cloud resources. In this paper, we first compare the performance of representative state-of-the-art workload prediction methods. We suggest a method to conduct the prediction a certain time before the predicted time point in order to allow sufficient time for task scheduling based on predicted workload. To further improve the prediction accuracy, we introduce a clustering based workload prediction method, which first clusters all the tasks into several categories and then trains a prediction model for each category respectively. The trace-driven experiments based on Google cluster trace demonstrates that our clustering based workload prediction methods outperform other comparison methods and improve the prediction accuracy to around 90% both in CPU and memory.</t>
  </si>
  <si>
    <t>Task analysis; Cloud computing; Machine learning; Predictive models; Cloud Computing; Google; Hidden Markov models; Workload Prediction</t>
  </si>
  <si>
    <t>2020 29th International Conference on Computer Communications and Networks (ICCCN)</t>
  </si>
  <si>
    <t>Schwarz, Julian; Steffens, Andreas; Lichter, Horst</t>
  </si>
  <si>
    <t>Ensuring high quality in software systems is a wellknown and big challenge. Infrastructure as Code (IaC) gathered increasing popularity in recent years, but there is only little research done in terms of quality of this code. Like with programming languages we find a high diversity of languages and technologies. Existing research introduced code smells from traditional software engineering to the popular provisioning tool Puppet, which uses IaC to specify the desired state of environments. Results show that code smells are an adequate method to assess the quality of Puppet code. In this paper we extend the existing research by first applying code the IaC smells to an other technology and investigate if similar results can be achieved. We applied the code smells in two case studies to open and closed source IaC code repositories. The presented results indicate that IaC smells are present in other tools and technologies. Furthermore the results show that IaC smells are agnostic to the applied technology and can be defined on a technology agnostic level. Second, we introduce new code smells from the field of software engineering, which were not covered yet, to the domain of IaC. The paper presents a catalogue of 17 code smells which were applied to Chef and whose implementation is available as Open Source.</t>
  </si>
  <si>
    <t>Software engineering; Best practices; code smells; Computer architecture; DevOps; Infrastructure As Code; Measurement; refactoring; software quality; Software systems; static analysis; Tools</t>
  </si>
  <si>
    <t>2018 11th International Conference on the Quality of Information and Communications Technology (QUATIC)</t>
  </si>
  <si>
    <t>Pahl, Claus; Gunduz, Niyazi; Sezen, Övgüm; Ghamgosar, Ali; El Ioini, Nabil</t>
  </si>
  <si>
    <t>Infrastructure as Code -Technology Review and Research Challenges</t>
  </si>
  <si>
    <t>https://www.researchgate.net/publication/389406746_Infrastructure_as_Code_-Technology_Review_and_Research_Challenges</t>
  </si>
  <si>
    <t>The quality of software management in infrastructure operations for application software is important as automation in software operations continues to grow. Infrastructure as Code (IaC) refers to a systematic, technology-supported approach to manage deployment infrastructure for software applications. Sample contexts are general software automation, but also cloud and edge and various software-defined networking applications. DevOps (development and operations) practices, which are already applied in the Infrastructure as Code (IaC) context, need to be extended to cover the whole IaC life cycle from code generation to dynamic, automated control. The ultimate objective would range from IaC generation to full self-adaptation of IaC code in an automated setting. We review available IaC technologies based on a comprehensive comparison framework to capture the state-of-the-art. We also introduce an IaC-specific DevOps process. This serves as a basis to identify open research challenges. A discussion of defect categories is at the centre of this process.</t>
  </si>
  <si>
    <t>Ewenike, Stanley; Benkhelifa, Elhadj; Chibelushi, Claude</t>
  </si>
  <si>
    <t>Cloud Based Collaborative Software Development: A Review, Gap Analysis and Future Directions</t>
  </si>
  <si>
    <t>https://ieeexplore.ieee.org/document/8308385</t>
  </si>
  <si>
    <t>Organizations who have transitioned their development environments to the Cloud have started realizing benefits such as: cost reduction in hardware; relatively accelerated development process via reduction of time and effort to set up development and testing environments; unified management; service and functionality expansion; on-demand provisioning and access to resources and development environments. These benefits represent only a fraction of the full potential that could be achieved via leveraging Cloud Computing for the collaborative software development process. Related efforts in this area have been mainly in the areas of: asynchronous collaboration; collaboration in isolated aspects of the Software Development process, such as coding activities; use of open-source tools for contributing, improving, and managing code, etcetera. Although these efforts represent valid contributions and important enablers, they are still missing important aspects which enable a more holistic process, with solid theoretical foundation. This paper reviews this research area, in order to better assess factors and gaps creating the need to enhance the collaborative software development process in the Cloud, to better meet the pressure to collaboratively create better cloud-agnostic applications.</t>
  </si>
  <si>
    <t>Tools; Cloud computing; Cloud; Adaptation models; Business; collaboration; Collaborative software; Collaborative software development; gap analysis</t>
  </si>
  <si>
    <t>2017 IEEE/ACS 14th International Conference on Computer Systems and Applications (AICCSA)</t>
  </si>
  <si>
    <t>Zhang, Yue; Wu, Fan; Rahman, Akond</t>
  </si>
  <si>
    <t>Practitioner Perceptions of Ansible Test Smells</t>
  </si>
  <si>
    <t>https://ieeexplore.ieee.org/document/10092644</t>
  </si>
  <si>
    <t>The practice of infrastructure as code (IaC) recommends automated management of computing infrastructure with application of quality assurance, such as linting and testing. To that end, researchers recently have investigated quality concerns in IaC test manifests by deriving a catalog of test smells. The relevance of the identified smells need to be quantified by obtaining feedback from practitioners. Such feedback can help the IaC community understand if smells have relevance amongst practitioners, and derive future research directions. We survey 30 practitioners to assess the relevance of three Ansible test smell categories namely, assertion roulette, local only testing, and remote mystery guest. We observe local only testing to be the most agreed upon test smell category, whereas, assertion roulette is the least agreed upon test smell category. Our findings provide a nuanced perspective of test smells for IaC, and lays the groundwork for future research.</t>
  </si>
  <si>
    <t>ansible; Codes; devops; empirical study; infrastructure as code; Quality assurance; smells; Software architecture; testing; Testing</t>
  </si>
  <si>
    <t>Zhang, Yue; Rahman, Muktadir; Wu, Fan; Rahman, Akond</t>
  </si>
  <si>
    <t>Quality Assurance for Infrastructure Orchestrators: Emerging Results from Ansible</t>
  </si>
  <si>
    <t>https://ieeexplore.ieee.org/document/10092684</t>
  </si>
  <si>
    <t>Infrastructure as code (IaC) is the practice of automatically managing computing infrastructure at scale. Despite yielding multiple benefits for organizations, the practice of IaC is susceptible to quality concerns, which can lead to large-scale consequences. While researchers have studied quality concerns in IaC manifests, quality aspects of infrastructure orchestrators, i.e., tools that implement the practice of IaC, remain an under-explored area. A systematic investigation of defects in infrastructure orchestrators can help foster further research in the domain of IaC. From our empirical study with 22,445 commits mined from the Ansible infrastructure orchestrator we observe (i) a defect density of 17.9 per KLOC, (ii) 12 categories of Ansible components for which defects appear, and (iii) the ‘Module’ component to include more defects than the other 11 components. Based on our empirical study, we provide recommendations for researchers to conduct future research to enhance the quality of infrastructure orchestrators.</t>
  </si>
  <si>
    <t>ansible; Codes; Correlation; devops; infrastructure as code; Organizations; Quality assurance; Software architecture; Systematics; Taxonomy</t>
  </si>
  <si>
    <t>Mendis, Pemsith; Reeves, Wilson; Babar, Muhammad Ali; Zhang, Yue; Rahman, Akond</t>
  </si>
  <si>
    <t>Evaluating the Quality of Open Source Ansible Playbooks: An Executability Perspective</t>
  </si>
  <si>
    <t>https://dl.acm.org/doi/10.1145/3663530.3665019</t>
  </si>
  <si>
    <t>Infrastructure as code (IaC) is the practice of automatically managing computing platforms, such as Internet of Things (IoT) platforms. IaC has gained popularity in recent years, yielding a plethora of software artifacts, such as Ansible playbooks that are available on social coding platforms. Despite the availability of open source software (OSS) Ansible playbooks, there is a lack of empirical research on the quality of these playbooks, which can hinder the progress of IaC-related research. To that end, we conduct an empirical study with 2,952 OSS Ansible playbooks where we evaluate the quality of OSS playbooks from the perspective of executability, i.e., if publicly available OSS Ansible playbooks can be executed without failures. From our empirical study, we observe 71.5% of the mined 2,952 Ansible playbooks cannot be executed as is because of four categories of failures.</t>
  </si>
  <si>
    <t>Workshop</t>
  </si>
  <si>
    <t>Vista do Terraform and AWS CDK: A Comparative Analysis of Infrastructure Management Tools</t>
  </si>
  <si>
    <t>https://sol.sbc.org.br/index.php/sbes/article/view/30404/30210</t>
  </si>
  <si>
    <t>Infrastructure as Code is a fundamental concept in DevOps that automates infrastructure management processes using code. Several tools, such as Terraform and CDK, support this environment. Selecting the appropriate tool is crucial to a project’s success, yet there is ambiguity about the circumstances in which developers should choose between these tools. Therefore, this study aims to compare Terraform and CDK across four aspects: abstraction, scalability, maintainability, and performance. Our findings indicate that each tool performs particularly well in specific scenarios. For instance, Terraform is better suited for experienced teams focused on rapid implementations, while CDK is more appropriate for less experienced teams prioritizing resource efficiency during implementation.</t>
  </si>
  <si>
    <t>Reddy Konala, Pandu Ranga; Kumar, Vimal; Bainbridge, David</t>
  </si>
  <si>
    <t>SoK: Static Configuration Analysis in Infrastructure as Code Scripts</t>
  </si>
  <si>
    <t>https://ieeexplore.ieee.org/document/10224925</t>
  </si>
  <si>
    <t>This SoK paper presents findings from a survey conducted on the current state of tools and techniques used in the static configuration analysis of Infrastructure as Code (IaC). Our findings highlight the increasing importance of ensuring the quality of IaC scripts through techniques such as detecting code and security smells. Our findings reveal that regular expressions are widely used, but this may not be a long-term or fully automated solution for detecting smells. Additionally, our study found that the majority of the tools and techniques are developed for infrastructure provisioning, rather than configuration management and image building. This raises concerns because configuring software is a high-risk task, with malicious actors constantly targeting software systems. Therefore, it is crucial for researchers to develop efficient and advanced techniques for detecting defects in configuration management and image building. The aim of this paper is to provide a detailed overview of the current state of research in this field, and to identify areas for future development.</t>
  </si>
  <si>
    <t>security; Software systems; Codes; empirical study; Security; devops; infrastructure as code; Buildings; code; Configuration management; defects; devsecops; smells; sok; static configuration analysis; survey; Surveys; Task analysis</t>
  </si>
  <si>
    <t>2023 IEEE International Conference on Cyber Security and Resilience (CSR)</t>
  </si>
  <si>
    <t>RahmanAkond; WilliamsLaurie</t>
  </si>
  <si>
    <t>Context In continuous deployment, software and services are rapidly deployed to end-users using an automated deployment pipeline. Defects in infrastructure as code (IaC) scripts can hinder the reliability of the automated deployment pipeline. We hypothesize that certain properties of IaC source code such as lines of code and hard-coded strings used as configuration values, show correlation with defective IaC scripts. Objective The objective of this paper is to help practitioners in increasing the quality of infrastructure as code (IaC) scripts through an empirical study that identifies source code properties of defective IaC scripts. Methodology We apply qualitative analysis on defect-related commits mined from open source software repositories to identify source code properties that correlate with defective IaC scripts. Next, we survey practitioners to assess the practitioner’s agreement level with the identified properties. We also construct defect prediction models using the identified properties for 2439 scripts collected from four datasets. Results We identify 10 source code properties that correlate with defective IaC scripts. Of the identified 10 properties we observe lines of code and hard-coded string i.e. putting strings as configuration values, to show the strongest correlation with defective IaC scripts. According to our survey analysis, majority of the practitioners show agreement for two properties: include, the property of executing external modules or scripts, and hard-coded string. Using the identified properties, our constructed defect prediction models show a precision of 0.70∼0.78, and a recall of 0.54∼0.67. Conclusion Based on our findings, we recommend practitioners to allocate sufficient inspection and testing efforts on IaC scripts that include any of the identified 10 source code properties of IaC scripts.</t>
  </si>
  <si>
    <t>Zeini, Ammar; Lennon, Ruth G.; Lennon, Patrick</t>
  </si>
  <si>
    <t>Despite the evident advantages of Infrastructure as Code (IaC) in software development, the nature of bugs and potential threats arising from its implementation remains subject to ongoing investigation. The formulation of a list, enumerating potential threats during the IaC process remains an unattained goal. However, it is not enough to recounting IaC threats only, it is imperative for Development (Dev), Security (Sec), and Operations (Ops) teams to synergistically collaborate from early developmental stages to conduct thorough risks’ analysis, estimation, and mitigation procedures concerning IaC-related risks. Moreover, adhering to security standards and risk management framework throughout the IaC lifecycle will enhance the overall security of the deployment process. A risk management framework for IaC is essential. The extant risk management and threat modeling methodologies may necessitate tailoring to effectively protect the Software Development Lifecycle (SDLC) from IaC misuse. This research aims to identify threats that threaten IaC lifecycle or arise from the utilization of IaC. In addition, it tries to integrate IaC practices with the DevSecOps culture to devise a robust risk management framework and prescribe pertinent practices conducive to fostering secure IaC implementation.</t>
  </si>
  <si>
    <t>Codes; Infrastructure as Code; Security; Computer bugs; DevSecOps; Estimation; Prevention and mitigation; Risk management; Risk Management framework; Secure Deployment; Threat modeling</t>
  </si>
  <si>
    <t>2023 Cyber Research Conference - Ireland (Cyber-RCI)</t>
  </si>
  <si>
    <t>Verdet, Alexandre; Hamdaqa, Mohammad; Silva, Leuson Da; Khomh, Foutse</t>
  </si>
  <si>
    <t>Exploring Security Practices in Infrastructure as Code: An Empirical Study</t>
  </si>
  <si>
    <t>http://arxiv.org/abs/2308.03952</t>
  </si>
  <si>
    <t>Cloud computing has become popular thanks to the widespread use of Infrastructure as Code (IaC) tools, allowing the community to conveniently manage and configure cloud infrastructure using scripts. However, the scripting process itself does not automatically prevent practitioners from introducing misconfigurations, vulnerabilities, or privacy risks. As a result, ensuring security relies on practitioners understanding and the adoption of explicit policies, guidelines, or best practices. In order to understand how practitioners deal with this problem, in this work, we perform an empirical study analyzing the adoption of IaC scripted security best practices. First, we select and categorize widely recognized Terraform security practices promulgated in the industry for popular cloud providers such as AWS, Azure, and Google Cloud. Next, we assess the adoption of these practices by each cloud provider, analyzing a sample of 812 open-source projects hosted on GitHub. For that, we scan each project configuration files, looking for policy implementation through static analysis (checkov). Additionally, we investigate GitHub measures that might be correlated with adopting these best practices. The category Access policy emerges as the most widely adopted in all providers, while Encryption in rest are the most neglected policies. Regarding GitHub measures correlated with best practice adoption, we observe a positive, strong correlation between a repository number of stars and adopting practices in its cloud infrastructure. Based on our findings, we provide guidelines for cloud practitioners to limit infrastructure vulnerability and discuss further aspects associated with policies that have yet to be extensively embraced within the industry.</t>
  </si>
  <si>
    <t>Computer Science - Cryptography and Security; Computer Science - Software Engineering</t>
  </si>
  <si>
    <t>Abbas, Syed Imran; Garg, Ankit</t>
  </si>
  <si>
    <t>Integrating Emerging Technologies with Infrastructure as Code in Distributed Environments</t>
  </si>
  <si>
    <t>https://ieeexplore.ieee.org/document/10575600?denied=</t>
  </si>
  <si>
    <t>Manual provisioning of infrastructure limited flexibility, scalability, and stability in distributed environments. The adoption of Infrastructure as Code (IaC) principles has dramatically enhanced deployment agility, reducing infrastructure change implementation to mere minutes. Automation facilitated dynamic scaling, optimizing resource utilization and cost efficiency. By standardizing configurations as code, IaC improved consistency and reliability, mitigating the risks associated with configuration drift and security vulnerabilities. This shift significantly reduced operational overhead, allowing IT teams to concentrate on strategic initiatives. Uniform and auditable configurations strengthened security and compliance, ensuring adherence to regulatory standards. The integration of IaC with emerging technologies has revolutionized organizational operations, enabling enterprises to navigate complex digital landscapes with increased agility and resilience. Through automation and standardization, organizations are now better positioned for sustained success and competitiveness in the evolving digital era.</t>
  </si>
  <si>
    <t>security; Codes; Organizations; Automation; Costs; Stability criteria; agility; automation; compliance; configuration drift; deployment; digital transformation.; distributed environments; dynamic scaling; emerging technologies; Infrastructure as Code (IaC); operational efficiency; reliability; resource utilization; scalability; Scalability; Standards organizations</t>
  </si>
  <si>
    <t>2024 3rd International Conference on Applied Artificial Intelligence and Computing (ICAAIC)</t>
  </si>
  <si>
    <t>Spielmann, David; Sokolowski, Daniel; Salvaneschi, Guido</t>
  </si>
  <si>
    <t>Developers automate deployments with Languages Infrastructure as Code (PL-IaC) by implementing IaC programs in popular languages like TypeScript and Python. Yet, systematic testing---well established for high-velocity software development---is rarely applied to IaC programs IaC testing techniques either slow or require extensive development effort.   To solve this dilemma, we develop ProTI, a novel IaC unit testing approach, and implement it for Pulumi TypeScript. Our preliminary experiments with simple type-based test case generators and oracles show ProTI can find bugs reliably in a short time, often without writing any additional testing code.  ProTI's extensible plugin architecture allows   combining, adopting, and experimenting with new approaches,  opening the discussion about novel generators and oracles for efficient IaC testing.</t>
  </si>
  <si>
    <t>Rahman, Akond; Shamim, Shazibul Islam; Bose, Dibyendu Brinto; Pandita, Rahul</t>
  </si>
  <si>
    <t>Context: Kubernetes has emerged as the de-facto tool for automated container orchestration. Business and government organizations are increasingly adopting Kubernetes for automated software deployments. Kubernetes is being used to provision applications in a wide range of domains, such as time series forecasting, edge computing, and high-performance computing. Due to such a pervasive presence, Kubernetes-related security misconfigurations can cause large-scale security breaches. Thus, a systematic analysis of security misconfigurations in Kubernetes manifests, i.e., configuration files used for Kubernetes, can help practitioners secure their Kubernetes clusters.Objective: The goal of this paper is to help practitioners secure their Kubernetes clusters by identifying security misconfigurations that occur in Kubernetes manifests.Methodology: We conduct an empirical study with 2,039 Kubernetes manifests mined from 92 open-source software repositories to systematically characterize security misconfigurations in Kubernetes manifests. We also construct a static analysis tool called Security Linter for Kubernetes Manifests (SLI-KUBE) to quantify the frequency of the identified security misconfigurations.Results: In all, we identify 11 categories of security misconfigurations, such as absent resource limit, absent securityContext, and activation of hostIPC. Specifically, we identify 1,051 security misconfigurations in 2,039 manifests. We also observe the identified security misconfigurations affect entities that perform mesh-related load balancing, as well as provision pods and stateful applications. Furthermore, practitioners agreed to fix 60% of 10 misconfigurations reported by us.Conclusion: Our empirical study shows Kubernetes manifests to include security misconfigurations, which necessitates security-focused code reviews and application of static analysis when Kubernetes manifests are developed.</t>
  </si>
  <si>
    <t>Sroor, Maha; Mohanani, Rahul; Das, Teerath; Mikkonen, Tommi; Dasanayake, Sandun</t>
  </si>
  <si>
    <t>Practitioners' Perceptions of Security Issues in Software Containers: A Qualitative Study</t>
  </si>
  <si>
    <t>https://ieeexplore.ieee.org/document/10803348</t>
  </si>
  <si>
    <t>Software containers have emerged as solutions for developing and deploying software applications. Despite the popularity and portability of containers, there is significant concern about container security, which hinders their adoption. Recent research has made efforts to investigate container security theoretically and experimentally. Meanwhile, software practitioners have also developed practices to improve and maintain container security based on their work experience. However, a notable gap exists in expressing practitioners' viewpoints on container security. Consequently, this study aims to understand practitioners' perceptions of container security and their man-agement strategies in real-world projects. We conducted semi-structured interviews with practitioners across various domains to explore their opinions on container security issues, causes, implications, tools, and practices. Our data analysis reveals emergent patterns in handling container security in real projects. These patterns are presented as a model that highlights the relationships between the major themes and how they affect each other. Our findings reveal that containers offer many advantages to software systems but face challenges in maintaining security. Finally, this research attempts to bridge the knowledge gap between academia and industry by providing a comprehensive understanding of container security issues as perceived by the practitioners and their interrelationships.</t>
  </si>
  <si>
    <t>Software engineering; Software systems; Security; Software; Software measurement; Containers; Interviews; con-tainer security; interviews; qualitative study; Refining; security issues; Security management; software container; Sustainable development</t>
  </si>
  <si>
    <t>2024 50th Euromicro Conference on Software Engineering and Advanced Applications (SEAA)</t>
  </si>
  <si>
    <t>Gunathilake, Kavindu; Ekanayake, Indrajith</t>
  </si>
  <si>
    <t>Microservice architecture is widely adopted among distributed systems. It follows the modular approach that decomposes large software applications into independent services. Kubernetes has become the standard tool for managing these microservices. It stores sensitive information like database passwords, API keys, and access tokens as Secret Objects. There are security mechanisms employed to safeguard these confidential data, such as encryption, Role Based Access Control (RBAC), and the least privilege principle. However, manually configuring these measures is time-consuming, requires specialized knowledge, and is prone to human error, thereby increasing the risks of misconfiguration. This research introduces \mathrmK8\mathrms Pro Sentinel, an operator that automates the configuration of encryption and access control for Secret Objects by extending the Kubernetes API server. This automation reduces human error and enhances security within clusters. The performance and reliability of the Sentinel operator were evaluated using Red Hat Operator Scorecard and chaos engineering practices.</t>
  </si>
  <si>
    <t>Software; Testing; Servers; DevSecOps; Standards; Reliability engineering; Distributed Systems; Encryption; Information technology; Kubernetes Security; Measurement uncertainty; Microservice architectures; Microservices; Passwords; Secrets Management</t>
  </si>
  <si>
    <t>2024 9th International Conference on Information Technology Research (ICITR)</t>
  </si>
  <si>
    <t>Diarra, Boubacar; Guillouard, Karine; Ouzzif, Meryem; Merle, Philippe; Stefani, Jean-Bernard</t>
  </si>
  <si>
    <t>In-Depth Analysis of Kubernetes Manifest Verification Tools for Robust CNF Deployment</t>
  </si>
  <si>
    <t>https://ieeexplore.ieee.org/document/10494445/citations?tabFilter=papers#citations</t>
  </si>
  <si>
    <t>Kubernetes has emerged as the leading platform for orchestrating cloud-native network functions (CNF). The description of the hardware and software architecture of systems to be deployed with Kubernetes is defined in configuration files called manifests. In order to address the errors that these manifests may contain, manifest verification tools have been developed. However, evaluating and selecting the most appropriate verification tool for a given project is a difficult task. To facilitate this evaluation process, we identified and characterized the most relevant verification capabilities, useful also in the CNF context. The selected capabilities serve as criteria for the evaluation of manifest verification tools. In total, we have identified 13 criteria, like the variety of verification types or the ability to carry out JSON Schema-based verification. The identified criteria were used to evaluate 16 of the most commonly used verification tools in the Kubernetes community. This evaluation revealed several shortcomings in the existing tools.</t>
  </si>
  <si>
    <t>Kubernetes; Cloud computing; Software architecture; CNF; evaluation criteria; Hardware; manifests verification; Model checking; Random access memory; robust CNF deployment; Robustness; Technological innovation; verification tools</t>
  </si>
  <si>
    <t>2024 27th Conference on Innovation in Clouds, Internet and Networks (ICIN)</t>
  </si>
  <si>
    <t>Choi, Dongmin; Seo, Hyunmin; Kim, Kwanwoo; You, Myoungsung; Shin, Seungwon; Kim, Jinwoo</t>
  </si>
  <si>
    <t>The increasing popularity of cloud computing has led to a significant rise in the use of container technology. Docker and Kubernetes have emerged as the de facto standards for container orchestration frameworks due to their reliability, flexibility, and ease of operation, supported by scalable, HTTP-based interfaces. Given the critical nature of infrastructure systems, container components within such orchestration frameworks should adhere to strict security levels. However, administrative misconfigurations can introduce serious vulnerabilities, exposing security-critical container components to external networks and allowing adversaries to discover and exploit them as attack vectors. In this paper, we investigate the security threats posed by misconfigured container components (MCC) that are exposed to the Internet. Through an Internet-scale measurement, we identify a total of 1,003,947 MCCs, with the majority operating under default configurations and outdated software versions. Our analysis reveals that renowned institutes, governments, and enterprises that are operating exposed MCCs, suggesting significant security risks. In addition, we conduct a real-world experiment within multi-branch campus network, scanning 150,235 IP addresses to uncover actual vulnerabilities in MCCs. We identify five distinct vulnerabilities that either leak sensitive information or allow remote code execution, demonstrating the real-world feasibility and potential impact of exploiting these misconfigured container components.</t>
  </si>
  <si>
    <t>Codes; Security; Software; Cloud computing; IP networks; Servers; Standards; Containers; Cloud computing security; HTTP; internet security; network security; Vectors</t>
  </si>
  <si>
    <t>Afifah, Fatma Nur; Dewantara, Nasrullah Pandu; Faiz, Ahmad Faris; Romansyah, Syahda; Negara, Ridha Muldina; Mayasari, Ratna; Astuti, Sri</t>
  </si>
  <si>
    <t>Cost-Effective Automation: Cloud-Based Monitoring Combining HPA with VPA for Scalable Startups</t>
  </si>
  <si>
    <t>https://ieeexplore.ieee.org/document/10335324</t>
  </si>
  <si>
    <t>This paper proposes to automate server usage monitoring for resource metrics using Prometheus and Grafana. The main contribution of this work is to create a cost-effective web-based application monitoring system combining Horizontal Pod Autoscaler (HPA) and Vertical Pod Autoscaler (VPA), called Anbu, suitable for scalable startups. The web-based application monitoring system is achieved by comparing the monthly fee with the existing monitoring system. To validate the accuracy of Anbu, services in the Kubernetes cluster are tested in two cases using a load test. The first case is to scale the number of replicas set for the service according to CPU and memory. The second is to provide recommendations for the ideal number of CPUs and memory according to the history of their actual use. The results show that scalable startups can do automation monitoring with an Anbu usage fee for 24 hours of uptime of around 200 per month. It will save 139.04 less per month than the existing monitoring system. This price is suitable for scalable startups who still manually automate server usage with an annual salary of less than $100.000.</t>
  </si>
  <si>
    <t>Measurement; Automation; Computer bugs; Writing; Wireless communication; Grafana; HPA; Prometheus; Scalable Startups; Social networking (online); Telematics; VPA</t>
  </si>
  <si>
    <t>2023 9th International Conference on Wireless and Telematics (ICWT)</t>
  </si>
  <si>
    <t>Reis, David; Piedade, Bruno; Correia, Filipe F.; Dias, João Pedro; Aguiar, Ademar</t>
  </si>
  <si>
    <t>Developing Docker and Docker-Compose Specifications: A Developers’ Survey</t>
  </si>
  <si>
    <t>https://ieeexplore.ieee.org/document/9658534</t>
  </si>
  <si>
    <t>Cloud computing and Infrastructure-as-Code (IaC), supported by technologies such as Docker, have shaped how many software systems are built and deployed. Previous research has identified typical issues for some types of IaC specification but not why they come to be, or they have delved into collaboration aspects but not into technical ones. This work aims to characterize the activities around two particular kinds of IaC specification—Dockerfiles and docker-compose.yml files. We seek to know how they can be better supported and therefore study also what approaches and tools practitioners employ. We used an online questionnaire to gather data. The first part of the study reached 68 graduate students from a study program on informatics engineering, and the second one 120 professional software developers. The results show that most of the activities of the process of developing a Dockerfile are perceived as time-consuming, especially when the respondents are beginners with this technology. We also found that solving issues using trial-and-error approaches is very common and that many developers do not use ancillary tools to support the development of Dockerfiles and docker-compose.yml files.</t>
  </si>
  <si>
    <t>Measurement; Open source software; survey; Cloud computing; cloud computing; Social networking (online); Docker; docker-compose; orchestration; Software development management</t>
  </si>
  <si>
    <t>Liu, Jiali; Qin, Yuqin</t>
  </si>
  <si>
    <t>CSPUMS: Pioneering Integrated Monitoring in Multi-Service Provider Ecosystems</t>
  </si>
  <si>
    <t>https://ieeexplore.ieee.org/document/10569563</t>
  </si>
  <si>
    <t>In the era of information interconnection, the evolution of enterprise digitalization necessitates the adoption of architectures that can support dynamic and complex business operations. Microservices architecture, characterized by its flexibility, scalability, and efficiency, has emerged as a pivotal solution for modern enterprises, enabling the decomposition of monolithic applications into independently deployable services. However, with the expansion of enterprises and the intricate nature of business operations, microservices architecture encounters challenges in service governance, monitoring, management, and integration in multi-vendor environments. Addressing these challenges, this paper introduces a Cross-Service Provider Unified Monitoring System (CSPUMS) tailored for microservice business platforms operating within multi-service provider ecosystems. CSPUMS, a novel three-layer system architecture, encompasses a data acquisition layer, a monitoring layer, and a data presentation layer, designed to ensure the reliability, performance, and security of service platforms across diverse cloud environments. Through the deployment of Docker container technology for data aggregation and the implementation of a multi-dimensional threshold alarm template, CSPUMS enhances operational monitoring, fault management, and service continuity in complex multi-service settings. This paper significantly enhances microservice platforms by providing integrated monitoring solutions for multi-cloud and multi-service environments, ensuring operational efficiency and agility for digitally transforming enterprises.</t>
  </si>
  <si>
    <t>Computer architecture; Cloud computing; Reliability engineering; Scalability; Microservice architectures; Docker; Ecosystems; Microservices architecture; Multi-service provider; Operation monitoring; Systems architecture</t>
  </si>
  <si>
    <t>2024 9th International Conference on Cloud Computing and Big Data Analytics (ICCCBDA)</t>
  </si>
  <si>
    <t>Ueno, Masaru; Uchiumi, Tetsuya</t>
  </si>
  <si>
    <t>Migrating Existing Container Workload to Kubernetes - LLM Based Approach and Evaluation</t>
  </si>
  <si>
    <t>https://ieeexplore.ieee.org/document/10795024</t>
  </si>
  <si>
    <t>Although Kubernetes has become a widespread open-source system that automates the management of containerized applications, its complexity can be a significant barrier, particularly for application developers unfamiliar with it. One approach employs large language models (LLMs) to assist developers in generating Kubernetes manifests; however it is currently impossible to determine whether the output satisfies given specifications and is comprehensible. In this study, we proposed a benchmarking method for evaluating the effectiveness of LLMs in synthesizing manifests, using the Compose specification - a standard widely adopted by application developers - as input. The proposed benchmarking method revealed that LLMs generally produce accurate results that compensate for simple specification gaps. However, we also observed that inline comments for readability were often omitted, and completion accuracy was low for atypical inputs with unclear intentions.</t>
  </si>
  <si>
    <t>Kubernetes; Market research; Configuration management; Pipelines; Standards; Software maintenance; Benchmark testing; Accuracy; Color; Dictionaries; LLM; Performance evaluation; program synthesis; Tuning</t>
  </si>
  <si>
    <t>2024 IEEE International Conference on Software Maintenance and Evolution (ICSME)</t>
  </si>
  <si>
    <t>Rosa, Giovanni; Mastropaolo, Antonio; Scalabrino, Simone; Bavota, Gabriele; Oliveto, Rocco</t>
  </si>
  <si>
    <t>Containerization allows developers to define the execution environment in which their software needs to be installed. Docker is the leading platform in this field, and developers that use it are required to write a Dockerfile for their software. Writing Dockerfiles is far from trivial, especially when the system has unusual requirements for its execution environment. Despite several tools exist to support developers in writing Dockerfiles, none of them is able to generate entire Dockerfiles from scratch given a high-level specification of the requirements of the execution environment. In this paper, we present a study in which we aim at understanding to what extent Deep Learning (DL), which has been proven successful for other coding tasks, can be used for this specific coding task. We preliminarily defined a structured natural language specification for Dockerfile requirements and a methodology that we use to automatically infer the requirements from the largest dataset of Dockerfiles currently available. We used the obtained dataset, with 670,982 instances, to train and test a Text-to-Text Transfer Transformer (T5) model, following the current state-of-the-art procedure for coding tasks, to automatically generate Dockerfiles from the structured specifications. The results of our evaluation show that T5 performs similarly to the more trivial IR-based baselines we considered. We also report the open challenges associated with the application of deep learning in the context of Dockerfile generation.</t>
  </si>
  <si>
    <t>Software; Task analysis; Encoding; Writing; deep learning; Deep learning; docker; Natural languages; Transformers</t>
  </si>
  <si>
    <t>2023 IEEE/ACM International Conference on Software and System Processes (ICSSP)</t>
  </si>
  <si>
    <t>Rosa, Giovanni; Scalabrino, Simone; Oliveto, Rocco</t>
  </si>
  <si>
    <t>Docker is the most diffused containerization technology adopted in the DevOps workflow. Docker allows shipping applications in Docker images, along with their dependencies and execution environment. A Docker image is created using a configuration file called Dockerfile. The literature shows that quality issues, such as violations of best practices (i.e., Dockerfile smells), are diffused among Docker artifacts. Smells can negatively impact the reliability, leading to building failures, poor performance, and security issues. In addition, it is unclear to what extent developers are aware of those quality issues and what quality aspects are correlated with the adoption of a Docker image. As evaluated in the literature, composing high-quality Dockerfiles and Docker images is not a trivial task. In this research, we aim to propose approaches and techniques to assess and improve the quality of Dockerfiles and Docker images. First, starting from the resolution of Dockerfile smells, we aim to improve the internal and then the related external quality aspects that also affect the developers’ preference and the perceived quality when they adopt a Docker image. Next, we want to employ that knowledge in the automated generation of high-quality Dockerfiles and Docker images.</t>
  </si>
  <si>
    <t>Best practices; software quality; Security; Buildings; Task analysis; Software maintenance; Docker; empirical software engineering; Image resolution; Reliability; software evolution</t>
  </si>
  <si>
    <t>2022 IEEE International Conference on Software Maintenance and Evolution (ICSME)</t>
  </si>
  <si>
    <t>Dogani, Javad; Namvar, Reza; Khunjush, Farshad</t>
  </si>
  <si>
    <t>Auto-scaling techniques in container-based cloud and edge/fog computing: Taxonomy and survey</t>
  </si>
  <si>
    <t>https://www.sciencedirect.com/science/article/pii/S0140366423002086</t>
  </si>
  <si>
    <t>The long-held dream of computing as a service was realized with the emergence of cloud computing. Recently, fog and edge computing have been introduced as extensions of cloud networks, providing networking, processing, data management, and storage on network nodes near Internet of Things (IoT) devices to bridge the gap between the cloud and IoT devices. As the foundation of distributed computing, virtualization enables more effective use of physical computer hardware. Operating system virtualization through containers has recently been proposed as a promising alternative to virtual machines (VMs). Containers are lightweight packages that contain all application dependencies, system libraries, and third-party software packages. This research aims to review auto-scaling solutions for container-based virtualization in cloud and edge/fog computing applications. Auto-scaling plays a crucial role in the broad adoption of cloud computing by allocating and releasing computing resources in response to fluctuating resource requirements. However, designing and implementing an efficient auto-scaler for container-based applications in cloud and edge/fog computing presents challenges due to diverse application resource requirements and dynamic workload characteristics. Our research presents a comprehensive classification system for articles, covering key parameters such as auto-scaling techniques, experiments, workloads, and metrics, among others. We provide a detailed analysis of the results, offering valuable insights into open challenges and identifying promising directions for future research in this field.</t>
  </si>
  <si>
    <t>Cloud computing; Auto-scaling; Container-based virtualization; Edge computing; Fog computing</t>
  </si>
  <si>
    <t>Dalla Palma, Stefano; Di Nucci, Dario; Tamburri, Damian A.</t>
  </si>
  <si>
    <t>Infrastructure-as-Code (IaC) has recently received increasing attention in the research community, mainly due to the paradigm shift it brings in software design, development, and operations management. However, while IaC represents an ever-increasing and widely adopted practice, concerns arise about the need for instruments that help DevOps engineers efficiently maintain, speedily evolve, and continuously improve Infrastructure-as-Code. In this paper, we present AnsibleMetrics, a Python-based static source code measurement tool to characterize Infrastructure-as-Code. Although we focus on Ansible, the most used language for IaC, our tool could be easily extended to support additional formats. AnsibleMetrics represents a step forward towards software quality support for DevOps engineers developing and maintaining infrastructure code.</t>
  </si>
  <si>
    <t>Infrastructure as Code; Software metrics; Software quality</t>
  </si>
  <si>
    <t>Prates, Luís; Pereira, Rúben</t>
  </si>
  <si>
    <t>DevSecOps practices and tools</t>
  </si>
  <si>
    <t>https://doi.org/10.1007/s10207-024-00914-z</t>
  </si>
  <si>
    <t>Nowadays, software development happens at a fast pace. At the same time, Information Technology organizations face higher demands and competition while struggling with external threats such as cyberattacks. Therefore, many organizations adopt DevOps as a working culture to improve their Software Development Lifecycle (SDL). However, the success of DevOps adoption remains inconsistent, and recently, IEEE introduced a DevOps standard that might help improve DevOps adoption. The standard mentions DevSecOps as the security aspect of DevOps, adding security practices to the SDL from inception, but what are these practices or capabilities? Which tools can be used to implement these practices? Therefore, a Multivocal Literature Review was performed to identify DevSecOps practices and their definitions, and which tools can be used to implement them.</t>
  </si>
  <si>
    <t>DevSecOps; Capabilities; Practices; SecDevOps; Secure software development; Security tools</t>
  </si>
  <si>
    <t>Rahman, Akond</t>
  </si>
  <si>
    <t>Anti-Patterns in Infrastructure as Code</t>
  </si>
  <si>
    <t>https://ieeexplore.ieee.org/document/8367077</t>
  </si>
  <si>
    <t>In DevOps, infrastructure as code (IaC) scripts are used by practitioners to create and manage an automated deployment pipeline that enables IT organizations to release their software changes rapidly at scale. Low quality IaC scripts can have serious consequences, potentially leading to wide-spread system outages and service discrepancies. The goal of this research is to help practitioners increase the quality of infrastructure as code (IaC) scripts by identifying anti-patterns in IaC scripts and development of IaC scripts. Using open source repositories, we conduct three initial studies to (i) quantify the frequency and categorize the defects in IaC scripts; and (ii) identify operations that characterize defective IaC scripts. Based on our empirical analysis we observe (i) the dominant defect defect categories to be related to syntax and configuration assignments, and (ii) three operations that characterize defective IaC scripts. The above-mentioned findings motivate us to identify anti-patterns in IaC scripts and IaC development. To this end, we propose three studies that identify (i) process anti-patterns; and (ii) security-related anti-patterns in IaC.</t>
  </si>
  <si>
    <t>Tools; Security; Software; Syntactics; configuration as code; defect; devops; infrastructure as code; Organizations; puppet; Predictive models; anti pattern; continuous deployment; Feature extraction</t>
  </si>
  <si>
    <t>2018 IEEE 11th International Conference on Software Testing, Verification and Validation (ICST)</t>
  </si>
  <si>
    <t>Kim, Sunghun; Zimmermann, Thomas; Pan, Kai; Jr. Whitehead, E. James</t>
  </si>
  <si>
    <t>Automatic Identification of Bug-Introducing Changes</t>
  </si>
  <si>
    <t>https://ieeexplore.ieee.org/document/4019564</t>
  </si>
  <si>
    <t>Bug-fixes are widely used for predicting bugs or finding risky parts of software. However, a bug-fix does not contain information about the change that initially introduced a bug. Such bug-introducing changes can help identify important properties of software bugs such as correlated factors or causalities. For example, they reveal which developers or what kinds of source code changes introduce more bugs. In contrast to bug-fixes that are relatively easy to obtain, the extraction of bugintroducing changes is challenging. In this paper, we present algorithms to automatically and accurately identify bug-introducing changes. We remove false positives and false negatives by using annotation graphs, by ignoring non-semantic source code changes, and outlier fixes. Additionally, we validated that the fixes we used are true fixes by a manual inspection. Altogether, our algorithms can remove about 38% 51% of false positives and 14% 15% of false negatives compared to the previous algorithm. Finally, we show applications of bug-introducing changes that demonstrate their value for research.</t>
  </si>
  <si>
    <t>Open source software; Computer bugs; Inspection; Computer industry; Electrical equipment industry; Fixtures; History; Project management; Risk analysis; Software debugging</t>
  </si>
  <si>
    <t>21st IEEE/ACM International Conference on Automated Software Engineering (ASE'06)</t>
  </si>
  <si>
    <t>van der Bent, Eduard; Hage, Jurriaan; Visser, Joost; Gousios, Georgios</t>
  </si>
  <si>
    <t>Puppet is a declarative language for configuration management that has rapidly gained popularity in recent years. Numerous organizations now rely on Puppet code for deploying their software systems onto cloud infrastructures. In this paper we provide a definition of code quality for Puppet code and an automated technique for measuring and rating Puppet code quality. To this end, we first explore the notion of code quality as it applies to Puppet code by performing a survey among Puppet developers. Second, we develop a measurement model for the maintainability aspect of Puppet code quality. To arrive at this measurement model, we derive appropriate quality metrics from our survey results and from existing software quality models. We implemented the Puppet code quality model in a software analysis tool. We validate our definition of Puppet code quality and the measurement model by a structured interview with Puppet experts and by comparing the tool results with quality judgments of those experts. The validation shows that the measurement model and tool provide quality judgments of Puppet code that closely match the judgments of experts. Also, the experts deem the model appropriate and usable in practice. The Software Improvement Group (SIG) has started using the model in its consultancy practice.</t>
  </si>
  <si>
    <t>Measurement; Tools; Software; Computer languages; Computational modeling; Sociology; Statistics</t>
  </si>
  <si>
    <t>2018 IEEE 25th International Conference on Software Analysis, Evolution and Reengineering (SANER)</t>
  </si>
  <si>
    <t>Olbrich, Steffen M.; Cruzes, Daniela S.; Sjøberg, Dag I.K.</t>
  </si>
  <si>
    <t>Are all code smells harmful? A study of God Classes and Brain Classes in the evolution of three open source systems</t>
  </si>
  <si>
    <t>https://ieeexplore.ieee.org/document/5609564</t>
  </si>
  <si>
    <t>Code smells are particular patterns in object-oriented systems that are perceived to lead to difficulties in the maintenance of such systems. It is held that to improve maintainability, code smells should be eliminated by refactoring. It is claimed that classes that are involved in certain code smells are liable to be changed more frequently and have more defects than other classes in the code. We investigated the extent to which this claim is true for God Classes and Brain Classes, with and without normalizing the effects with respect to the class size. We analyzed historical data from 7 to 10 years of the development of three open-source software systems. The results show that God and Brain Classes were changed more frequently and contained more defects than other kinds of class. However, when we normalized the measured effects with respect to size, then God and Brain Classes were less subject to change and had fewer defects than other classes. Hence, under the assumption that God and Brain Classes contain on average as much functionality per line of code as other classes, the presence of God and Brain Classes is not necessarily harmful; in fact, such classes may be an efficient way of organizing code.</t>
  </si>
  <si>
    <t>Software; defects; Instruments; software evolution; change frequency; Code smells; Data analysis; detection strategies; FAA; open source</t>
  </si>
  <si>
    <t>2010 IEEE International Conference on Software Maintenance</t>
  </si>
  <si>
    <t>Khomh, Foutse; Di Penta, Massimiliano; Gueheneuc, Yann-Gael</t>
  </si>
  <si>
    <t>An Exploratory Study of the Impact of Code Smells on Software Change-proneness</t>
  </si>
  <si>
    <t>https://ieeexplore.ieee.org/document/5328703</t>
  </si>
  <si>
    <t>Code smells are poor implementation choices, thought to make object-oriented systems hard to maintain. In this study, we investigate if classes with code smells are more change-prone than classes without smells. Specifically, we test the general hypothesis: classes with code smells are not more change prone than other classes. We detect 29 code smells in 9 releases of Azureus and in 13 releases of Eclipse, and study the relation between classes with these code smells and class change-proneness. We show that, in almost all releases of Azureus and Eclipse, classes with code smells are more change-prone than others, and that specific smells are more correlated than others to change-proneness. These results justify a posteriori previous work on the specification and detection of code smells and could help focusing quality assurance and testing activities.</t>
  </si>
  <si>
    <t>Software engineering; Quality assurance; Testing; Code Smells; Empirical Software Engineering; Mining Software Repositories; Personnel; Quality management; Reverse engineering</t>
  </si>
  <si>
    <t>2009 16th Working Conference on Reverse Engineering</t>
  </si>
  <si>
    <t>Hamouda, Esraa; El-Korany, Abeer; Makady, Soha</t>
  </si>
  <si>
    <t>Smell-ML: A Machine Learning Framework for Detecting Rarely Studied Code Smells</t>
  </si>
  <si>
    <t>https://ieeexplore.ieee.org/document/10844273</t>
  </si>
  <si>
    <t>Code smells are design flaws that reduce the software quality and maintainability. Machine learning classification models have been used to detect different code smells. However, such studies targeted code smells in depth, while leaving other under-explored smells; even so, such smells have a significant impact on source code quality. Recent surveys have highlighted a group of code smells that has rarely been studied by researchers. Furthermore, some machine learning classification models were evaluated on a subset of the source code features while ignoring significant features during classification. This paper proposes a novel approach, called Smell-ML, for detecting five rarely studied code smells: Middle Man (MM), Class Data Should Be Private (CDSBP), Inappropriate Intimacy (II), Refused Bequest (RB), and Speculative Generality (SG). The novelty of this approach stems from the improvement in both the data preparation and classification phases. During data preparation, Smell-ML relies on data balancing and an extended source code feature list to improve accuracy. In the classification phase, different classifiers were assessed, including traditional, ensemble, and multi-level classifiers. We evaluated Smell-ML on a dataset composed of 13 open source Java projects with 125 versions per project. The results show that Smell-ML’s detection F1-score values surpass those of previous studies with significant improvements across various code smells. The F1-score measure of the 11 machine learning classifiers improved after using the extended feature list. Data balancing and multi-level classification notably boosted accuracy.</t>
  </si>
  <si>
    <t>Codes; Surveys; Software measurement; Java; machine learning; Accuracy; Feature extraction; Code smell detection; data balancing; Data models; ensemble learning; Ensemble learning; Machine learning algorithms; multi-level classification; Random forests</t>
  </si>
  <si>
    <t>Hu, Ruida; Peng, Chao; Wang, Xinchen; Gao, Cuiyun</t>
  </si>
  <si>
    <t>An LLM-based Agent for Reliable Docker Environment Configuration</t>
  </si>
  <si>
    <t>http://arxiv.org/abs/2502.13681</t>
  </si>
  <si>
    <t>Environment configuration is a critical yet time-consuming step in software development, especially when dealing with unfamiliar code repositories. While Large Language Models (LLMs) demonstrate the potential to accomplish software engineering tasks, existing methods for environment configuration often rely on manual efforts or fragile scripts, leading to inefficiencies and unreliable outcomes. We introduce Repo2Run, the first LLM-based agent designed to fully automate environment configuration and generate executable Dockerfiles for arbitrary Python repositories. We address two major challenges: (1) enabling the LLM agent to configure environments within isolated Docker containers, and (2) ensuring the successful configuration process is recorded and accurately transferred to a Dockerfile without error. To achieve this, we propose atomic configuration synthesis, featuring a dual-environment architecture (internal and external environment) with a rollback mechanism to prevent environment "pollution" from failed commands, guaranteeing atomic execution (execute fully or not at all) and a Dockerfile generator to transfer successful configuration steps into runnable Dockerfiles. We evaluate Repo2Run~on our proposed benchmark of 420 recent Python repositories with unit tests, where it achieves an 86.0% success rate, outperforming the best baseline by 63.9%. Repo2Run is available at https://github.com/bytedance/Repo2Run.</t>
  </si>
  <si>
    <t>Computer Science - Software Engineering; Computer Science - Artificial Intelligence; Computer Science - Computation and Language; Computer Science - Machine Learning</t>
  </si>
  <si>
    <t>Durieux, Thomas</t>
  </si>
  <si>
    <t>Docker, a widely adopted tool for packaging and deploying applications leverages Dockerfiles to build images. However, creating an optimal Dockerfile can be challenging, often leading to "Docker smells" or deviations from best practices. This paper presents a study of the impact of 14 Docker smells on the size of Docker images.To assess the size impact of Docker smells, we identified and repaired 16 145 Docker smells from 11 313 open-source Dockerfiles. We observe that the smells result in an average increase of 48.06MB (4.6 %) per smelly image. Depending on the smell type, the size increase can be up to 10 %, and for some specific cases, the smells can represent 89 % of the image size. Interestingly, the most impactful smells are related to package managers which are commonly encountered and are relatively easy to fix.To collect the perspective of the developers regarding the size impact of the Docker smells, we submitted 34 pull requests that repair the smells and we reported their impact on the Docker image to the developers. 26/34 (76.5 %) of the pull requests have been merged and they contribute to a saving of 3.46 GB (16.4 %). The developer's comments demonstrate a positive interest in addressing those Docker smells even when the pull requests have been rejected.</t>
  </si>
  <si>
    <t>Cito, Jürgen; Leitner, Philipp; Gall, Harald C.; Dadashi, Aryan; Keller, Anne; Roth, Andreas</t>
  </si>
  <si>
    <t>Runtime metric meets developer: building better cloud applications using feedback</t>
  </si>
  <si>
    <t>https://dl.acm.org/doi/10.1145/2814228.2814232</t>
  </si>
  <si>
    <t>A unifying theme of many ongoing trends in software engineering is a blurring of the boundaries between building and operating software products. In this paper, we explore what we consider to be the logical next step in this succession: integrating runtime monitoring data from production deployments of the software into the tools developers utilize in their daily workflows (i.e., IDEs) to enable tighter feedback loops. We refer to this notion as feedback-driven development (FDD). This more abstract FDD concept can be instantiated in various ways, ranging from IDE plugins that implement feedback-driven refactoring and code optimization to plugins that predict performance and cost implications of code changes prior to even deploying the new version of the soft- ware. We demonstrate existing proof-of-concept realizations of these ideas and illustrate our vision of the future of FDD and cloud-based software development in general. Further, we discuss the major challenges that need to be solved be- fore FDD can achieve mainstream adoption.</t>
  </si>
  <si>
    <t>Zhang, Shuai; Ni, Lin; Han, Kun</t>
  </si>
  <si>
    <t>A Service Driver Based Application Execution and Development Method in Multi-cloud Context</t>
  </si>
  <si>
    <t>https://ieeexplore.ieee.org/document/9650251</t>
  </si>
  <si>
    <t>To reduce the cost of cloud tenants and avoid the phenomenon of vendor lock-in, multi-cloud technique is proposed and competent for this goal. However, it leads to another difficultly on supporting application development and runtime update process in the multi-cloud context. The key points for this problem are: (i) implementing application runtime switch among cloud services for varied service requirements and status; (ii) supporting runtime agile and low-cost update, and redevelopment for emerging new cloud services. To overcome this problem and advance multi-cloud applications execution, we present a support technique based on service driver concept. Service driver can help applications shield the heterogeneity and switch among cloud services. To support the implementation of service driver, we have finished the following three areas: (i) proposing a multi-cloud application service access model which is implemented through multi-agent system technique; (ii) presenting a multi-cloud application runtime service update and invocation process; (iii) introducing a multi-cloud application development framework. Furthermore, to help and direct developers to design and implement multi-cloud application, we describe a multi-cloud application (re)development method. This method includes multi-cloud application development process and runtime multi-cloud application agile redevelopment process. Finally, we interpret the multi-cloud application development support techniques and methods via case study.</t>
  </si>
  <si>
    <t>Conferences; Costs; agile redevelopment; Computer applications; Data science; development method; Multi-agent systems; multi-cloud application; Runtime; service driver; service switch; Switches</t>
  </si>
  <si>
    <t>2021 IEEE International Conference on Data Science and Computer Application (ICDSCA)</t>
  </si>
  <si>
    <t>Hrusto, Adha; Runeson, Per; Engström, Emelie</t>
  </si>
  <si>
    <t>Closing the Feedback Loop in DevOps Through Autonomous Monitors in Operations</t>
  </si>
  <si>
    <t>https://doi.org/10.1007/s42979-021-00826-y</t>
  </si>
  <si>
    <t>DevOps represent the tight connection between development and operations. To address challenges that arise on the borderline between development and operations, we conducted a study in collaboration with a Swedish company responsible for ticket management and sales in public transportation. The aim of our study was to explore and describe the existing DevOps environment, as well as to identify how the feedback from operations can be improved, specifically with respect to the alerts sent from system operations. Our study complies with the basic principles of the design science paradigm, such as understanding and improving design solutions in the specific areas of practice. Our diagnosis, based on qualitative data collected through interviews and observations, shows that alert flooding is a challenge in the feedback loop, i.e. too much signals from operations create noise in the feedback loop. Therefore, we design a solution to improve the alert management by optimizing when to raise alerts and accordingly introducing a new element in the feedback loop, a smart filter. Moreover, we implemented a prototype of the proposed solution design and showed that a tighter relation between operations and development can be achieved, using a hybrid method which combines rule-based and unsupervised machine learning for operations data analysis.</t>
  </si>
  <si>
    <t>DevOps; Design science; Development; Operations</t>
  </si>
  <si>
    <t>Winter, Jos; Aniche, Maurício; Cito, Jürgen; Deursen, Arie van</t>
  </si>
  <si>
    <t>Monitoring-aware IDEs</t>
  </si>
  <si>
    <t>https://doi.org/10.1145/3338906.3338926</t>
  </si>
  <si>
    <t>Engineering modern large-scale software requires software developers to not solely focus on writing code, but also to continuously examine monitoring data to reason about the dynamic behavior of their systems. These additional monitoring responsibilities for developers have only emerged recently, in the light of DevOps culture. Interestingly, software development activities happen mainly in the IDE, while reasoning about production monitoring happens in separate monitoring tools. We propose an approach that integrates monitoring signals into the development environment and workflow. We conjecture that an IDE with such capability improves the performance of developers as time spent continuously context switching from development to monitoring would be eliminated. This paper takes a first step towards understanding the benefits of a possible monitoring-aware IDE. We implemented a prototype of a Monitoring-Aware IDE, connected to the monitoring systems of Adyen, a large-scale payment company that performs intense monitoring in their software systems. Given our results, we firmly believe that monitoring-aware IDEs can play an essential role in improving how developers perform monitoring.</t>
  </si>
  <si>
    <t>Chatley, Robert</t>
  </si>
  <si>
    <t>Supporting the developer experience with production metrics</t>
  </si>
  <si>
    <t>https://dl.acm.org/doi/10.1109/RCoSE/DDrEE.2019.00009</t>
  </si>
  <si>
    <t>In continuous software engineering, systems are constantly updated and evolved, with small changes being deployed to production every day. These production systems can be a gold mine of data on how the system is operating. While application performance management (APM) tools are now commonly used in industrial practice to record such data, often in very large quantities, we see a need to convert this data into useful information, and to present it to developers within their regular development environment, in a context sensitive way. When a developer is working on a particular piece of code, we want to tell them how that particular piece of code is currently behaving in production. In this position paper we present a road-map of ideas for how new tools could be developed that harness this data, and present it back to developers in an actionable form, where they can use it to inform decisions about the impact of potential changes, as they work with the code day to day.</t>
  </si>
  <si>
    <t>Opdebeeck, Ruben; Lesy, Jonas; Zerouali, Ahmed; De Roover, Coen</t>
  </si>
  <si>
    <t>Docker is a popular technology to containerise applications together with their dependencies into reproducible environments. In Docker, container images can depend on others through inheritance. Such inheritance can propagate bad practices and security vulnerabilities from a parent image to its children. Unfortunately, Docker Hub, the most popular online registry of images, lacks transparency about such inheritance. This obscures the software supply chain, possibly leaving image users unaware of quality or security issues caused by parent images. Nonetheless, we found inheritance on Docker Hub to be an understudied topic in academia to date. Therefore, the goal of this paper is to empirically investigate the practice of image inheritance on Docker Hub. To this end, we collect a dataset of 636,625 unique images belonging to popular Docker repositories and identify inheritance by comparing the images’ layers. We leverage the constructed inheritance network to empirically investigate three aspects, namely the structure of the inheritance network, how child images differ from their parents, and outdatedness of parent images. Our results show that most popular community Docker Hub images directly inherit from official images rather than other community ones. We also observe that community child images are often much larger than their parent, in comparison to official child images. This may indicate the existence of gaps between the features provided by official images and those required by consumers, suggesting the need for more ready-made parent images. Finally, we find that around half of the child images use an outdated parent image at the time the child is built, although time lag is usually less than a month. However, time lag becomes much larger when we compare against the latest version of the parent image available at the analysis date, with up to 70% of child images using an outdated parent image and a median of over 5 months of time lag. This indicates that users should pay attention to the lineage of the images they consume, and motivates future work on alleviating technical lag in Docker images.</t>
  </si>
  <si>
    <t>Security; Software; Source coding; Containers; Docker; Ecosystems; History; Docker Hub; inheritance network; software ecosystems; software supply chain; Supply chains; technical lag</t>
  </si>
  <si>
    <t>2023 IEEE 23rd International Working Conference on Source Code Analysis and Manipulation (SCAM)</t>
  </si>
  <si>
    <t>Ntentos, Evangelos; Zdun, Uwe; Falazi, Ghareeb; Breitenbücher, Uwe; Leymann, Frank</t>
  </si>
  <si>
    <t>The Infrastructure as Code (IaC) concept enables IT infrastructure to be managed as software: resources can be managed, monitored, and provisioned automatically instead of manually by developers or operations teams. Many industries have already embraced this concept widely. However, research on IaC-based deployments, particularly research focusing on loose coupling, often does not offer methods for evaluating architectural conformance, spotting architecture smells, and support for correcting the found smells. Our work strives to provide an automatic method for continuously developing microservice-based systems and the associated infrastructure. We aim to offer an automated architectural refactoring method that checks if IaCbased deployments adhere to patterns and best practices and do not contain potential architectural smells. We provide architects with viable options for enhancing architectural conformance during microservice development. In short, by continuously detecting architectural smells and suggesting possible fixes, we aim to support architecture evolution within the framework of continuous delivery practices. We evaluate our approach using three case studies and variants based on open-source microservice architectures.</t>
  </si>
  <si>
    <t>Infrastructure as code; Computer architecture; Codes; Cloud computing; Industries; Microservice architectures; architecture smells; best practices; Couplings; Focusing; metrics; modeling</t>
  </si>
  <si>
    <t>2023 IEEE 16th International Conference on Cloud Computing (CLOUD)</t>
  </si>
  <si>
    <t>Singh, Rashika; Yeboah-Ofori, Abel; Kumar, Saurabh; Ganiyu, Aishat</t>
  </si>
  <si>
    <t>Fortifying Cloud DevSecOps Security Using Terraform Infrastructure as Code Analysis Tools</t>
  </si>
  <si>
    <t>https://ieeexplore.ieee.org/document/10920371</t>
  </si>
  <si>
    <t>Fortifying Cloud Security has become inevitable due to challenges such as misconfigurations, coding errors, and compromised secrets or passwords that impact infrastructure as a service during infrastructure such as code automation (IaC). These challenges require code analysis tools to enhance security during infrastructure automation. Setting up a simple cloud architecture is quick, but human errors are still common, especially when cloud infrastructure can be deployed with just a few clicks. Terraform provides a ready-made infrastructure as code modules to build and scale cloud-hosted applications. However, cyber attackers exploit these vulnerabilities and gain access to sensitive data or resources without authorization due to configuration errors, inadequate storage, and infrastructure manipulation, resulting in unauthorized deployments or alterations. That affects the availability of resources during infrastructure deployment using attacks such as DoS attacks, injection attacks, Man in the Middle (MITM), malware spread, remote code execution (RCE), and phishing attacks to penetrate the cloud infrastructures. The paper aims to analyze Terraforms infrastructure as code in cloud security to fortify codes and assist DevSecOps engineers in identifying misconfiguration in Terraform scripts. The paper's contributions are threefold. First, we explore cloud security by securing IaC solutions on Terraform. We consider security issues, including misconfigurations and coding errors, present in Terraform IaC. Secondly, we implement a static analysis tool for terraform by comparatively analyzing existing tools. Finally, we provide a comparative analysis of terraform IaC on tools including Checkov, Tfsec, Tflint, and Terrascan for suitability based on their key features and performance metrics to enhance security.</t>
  </si>
  <si>
    <t>Measurement; Codes; Security; Static analysis; Automation; Terraform; Encoding; DevSecOps; Standards; Cloud computing security; Software development management; Runtime; Cloud Security; Coding Error; Cyber Security; IaC; Static Analysis Tool</t>
  </si>
  <si>
    <t>2024 International Conference on Electrical and Computer Engineering Researches (ICECER)</t>
  </si>
  <si>
    <t>The PIPr Dataset of Public Infrastructure as Code Programs</t>
  </si>
  <si>
    <t>https://ieeexplore.ieee.org/document/10555773</t>
  </si>
  <si>
    <t>With Programming Languages Infrastructure as Code (PL-IaC), developers implement IaC programs in popular imperative programming languages like Python and Typescript. Such programs generate the declarative target state of the deployment, i.e., they describe what to set up, not how to set it up. Despite the popularity of PL-IaC, which has grown more than ten times from 2020 to 2023, we know little about how developers apply it and how IaC programs differ from other software. Such knowledge is essential to effectively use existing software engineering techniques and develop new ones for PL-IaC. To shed light on PL-IaC in practice, we present PIPr, the first systematic PL-IaC dataset. PIPr is based on 37 712 public IaC programs on GitHub from August 2022 and includes initial analyses, assessing the programming languages, testing techniques, and licenses of the IaC programs. Beyond the metadata and analysis results of all IaC programs, PIPr contains the code of all 15 504 IaC programs whose licenses permit redistribution. PIPr sets the ground for future in-depth investigations on PL-IaC in practice.CCS CONCEPTS•Software and its engineering Architecture description languages; Software configuration→ management and version control systems; Cloud computing.</t>
  </si>
  <si>
    <t>Codes; Infrastructure as Code; Software; Source coding; Testing; Systematics; Metadata; AWS CDK; CDKTF; Licenses; Pulumi</t>
  </si>
  <si>
    <t>2024 IEEE/ACM 21st International Conference on Mining Software Repositories (MSR)</t>
  </si>
  <si>
    <t>Hu, Hanyang; Bu, Yani; Wong, Kristen; Sood, Gaurav; Smiley, Karen; Rahman, Akond</t>
  </si>
  <si>
    <t>While Terraform has gained popularity to implement the practice of infrastructure as code (IaC), there is a lack of characterization of static analysis for Terraform manifests. Such lack of characterization hinders practitioners to assess how to use static analysis for their Terraform development process, as it happened for Company A, an organization who uses Terraform to create automated software deployment pipelines. In this experience report, we have investigated 491 static analysis alerts that occur for 10 open source and one proprietary Terraform repositories. From our analysis we observe: (i) 10 categories of static analysis alerts to appear for Terraform manifests, of which five are related to security, (ii) Terraform resources with dependencies to have more static analysis alerts than that of resources with no dependencies, and (iii) practitioner perceptions to vary from one alert category to another while deciding on taking actions for reported alerts. We conclude our paper by providing a list of lessons for practitioners and toolsmiths on how to improve static analysis for Terraform manifests.</t>
  </si>
  <si>
    <t>static analysis; Codes; empirical study; Security; Software; Static analysis; configuration as code; infrastructure as code; Pipelines; Companies; experience report; terraform</t>
  </si>
  <si>
    <t>2023 IEEE Secure Development Conference (SecDev)</t>
  </si>
  <si>
    <t>Ma, Ziwei; Guan, Zhenyu</t>
  </si>
  <si>
    <t>A Lightweight Privileged Account Management System for Develpoment and Operation</t>
  </si>
  <si>
    <t>https://ieeexplore.ieee.org/document/10349199</t>
  </si>
  <si>
    <t>Privileged accounts are used in both software and hardware during the DevOps process. However, hard-coded privileged accounts in development may not be deleted before submitted to customers, which leads to a greater risk of leakage and results in a larger attack surface. Furthermore, privileged accounts are closely related but widely distributed across the DevOps project, meaning that a leak of any privileged account could result in the entire project being paralyzed. Therefore, privileged account management systems that span the entire development and operation process are needed to address the issue of hard-coded accounts. This paper proposes a privileged account management solution to prevent hard-coded privileged accounts and uniformly manage privileged accounts in DevOps projects. The solution is designed for DevOps scenarios based on Zero Trust thinking, which includes two working stages: development and operation &amp; maintenance. In the development stage, developers apply for encryption keys from the management center and use them to encrypt privileged accounts in the source code. In the operation &amp; maintenance stage, users set their own passwords, which are stored locally, and the management center periodically updates the encryption keys. Finally, this paper discusses the defensive capabilities of the proposed solution against several security risks.</t>
  </si>
  <si>
    <t>Software; Source coding; Maintenance engineering; Encryption; Passwords; Hardware; data security; Development and Operations; hard-coded risk; privileged account management; Zero Trust</t>
  </si>
  <si>
    <t>2023 IEEE 8th International Conference on Smart Cloud (SmartCloud)</t>
  </si>
  <si>
    <t>Basak, Setu Kumar; Neil, Lorenzo; Reaves, Bradley; Williams, Laurie</t>
  </si>
  <si>
    <t>What Challenges Do Developers Face About Checked-in Secrets in Software Artifacts?</t>
  </si>
  <si>
    <t>https://ieeexplore.ieee.org/document/10172600</t>
  </si>
  <si>
    <t>Throughout 2021, GitGuardian's monitoring of public GitHub repositories revealed a two-fold increase in the number of secrets (database credentials, API keys, and other credentials) exposed compared to 2020, accumulating more than six million secrets. To our knowledge, the challenges developers face to avoid checked-in secrets are not yet characterized. The goal of our paper is to aid researchers and tool developers in understanding and prioritizing opportunities for future research and tool automation for mitigating checked-in secrets through an empirical investigation of challenges and solutions related to checked-in secrets. We extract 779 questions related to checked-in secrets on Stack Exchange and apply qualitative analysis to determine the challenges and the solutions posed by others for each of the challenges. We identify 27 challenges and 13 solutions. The four most common challenges, in ranked order, are: (i) store/version of secrets during deployment; (ii) store/version of secrets in source code; (iii) ignore/hide of secrets in source code; and (iv) sanitize VCS history. The three most common solutions, in ranked order, are: (i) move secrets out of source code/version control and use template config file; (ii) secret management in deployment; and (iii) use local environment variables. Our findings indicate that the same solution has been mentioned to mitigate multiple challenges. However, our findings also identify an increasing trend in questions lacking accepted solutions substantiating the need for future research and tool automation on managing secrets.</t>
  </si>
  <si>
    <t>empirical study; Software; Source coding; Automation; Databases; Market research; History; challenges; credentials; developers; Faces; secrets; software secret management; stack exchange</t>
  </si>
  <si>
    <t>2023 IEEE/ACM 45th International Conference on Software Engineering (ICSE)</t>
  </si>
  <si>
    <t>Jiang, Yujuan; Adams, Bram</t>
  </si>
  <si>
    <t>https://ieeexplore.ieee.org/document/7180066</t>
  </si>
  <si>
    <t>Infrastructure-as-code automates the process of configuring and setting up the environment (e.g., servers, VMs and databases) in which a software system will be tested and/or deployed, through textual specification files in a language like Puppet or Chef. Since the environment is instantiated automatically by the infrastructure languages' tools, no manual intervention is necessary apart from maintaining the infrastructure specification files. The amount of work involved with such maintenance, as well as the size and complexity of infrastructure specification files, have not yet been studied empirically. Through an empirical study of the version control system of 265 Open Stack projects, we find that infrastructure files are large and churn frequently, which could indicate a potential of introducing bugs. Furthermore, we found that the infrastructure code files are coupled tightly with the other files in a project, especially test files, which implies that testers often need to change infrastructure specifications when making changes to the test framework and tests.</t>
  </si>
  <si>
    <t>Measurement; Maintenance engineering; Cloud computing; Servers; Couplings; Association rules</t>
  </si>
  <si>
    <t>2015 IEEE/ACM 12th Working Conference on Mining Software Repositories</t>
  </si>
  <si>
    <t>Bessghaier, Narjes; Sayagh, Mohammed; Ouni, Ali; Mkaouer, Mohamed Wiem</t>
  </si>
  <si>
    <t>What Constitutes the Deployment and Runtime Configuration System? An Empirical Study on OpenStack Projects</t>
  </si>
  <si>
    <t>https://dl.acm.org/doi/10.1145/3607186</t>
  </si>
  <si>
    <t>Modern software systems are designed to be deployed in different configured environments (e.g., permissions, virtual resources, network connections) and adapted at runtime to different situations (e.g., memory limits, enabling/disabling features, database credentials). Such a configuration during the deployment and runtime of a software system is implemented via a set of configuration files, which together constitute what we refer to as a “configuration system.” Recent research efforts investigated the evolution and maintenance of configuration files. However, they merely focused on a limited part of the configuration system (e.g., specific infrastructure configuration files or Dockerfiles), and their results do not generalize to the whole configuration system. To cope with such a limitation, we aim to better capture and understand what files constitute a configuration system. To do so, we leverage an open card sort technique to qualitatively study 1,756 configuration files from OpenStack, a large and widely studied open source software ecosystem. Our investigation reveals the existence of nine types of configuration files, which cover the creation of the infrastructure on top of which OpenStack will be deployed, along with other types of configuration files used to customize OpenStack after its deployment. These configuration files are interconnected while being used at different deployment stages. For instance, we observe specific configuration files used during the deployment stage to create other configuration files that are used in the runtime stage. We also observe that identifying and classifying these types of files is not straightforward, as five out of the nine types can be written in similar programming languages (e.g., Python and Bash) as regular source code files. We also found that the same file extensions (e.g., Yaml) can be used for different configuration types, making it difficult to identify and classify configuration files. Thus, we first leverage a machine learning model to identify configuration from non-configuration files, which achieved a median area under the curve (AUC) of 0.91, a median Brier score of 0.12, a median precision of 0.86, and a median recall of 0.83. Thereafter, we leverage a multi-class classification model to classify configuration files based on the nine configuration types. Our multi-class classification model achieved a median weighted AUC of 0.92, a median Brier score of 0.04, a median weighted precision of 0.84, and a median weighted recall of 0.82. Our analysis also shows that with only 100 labeled configuration and non-configuration files, our model reached a median AUC higher than 0.69. Furthermore, our configuration model requires a minimum of 100 configuration files to reach a median weighted AUC higher than 0.75.</t>
  </si>
  <si>
    <t>Thota, Ravi Chandra</t>
  </si>
  <si>
    <t>Enhancing Infrastructure as Code (IaC) with Automated Validation for Reliable and Error-Free Deployments</t>
  </si>
  <si>
    <t>https://www.researchgate.net/publication/390128023_Enhancing_Infrastructure_as_Code_IaC_with_Automated_Validation_for_Reliable_and_Error-Free_Deployments</t>
  </si>
  <si>
    <t>Infrastructure as Code (IaC) Is turned out to be a transformative practise in modern software deployment and system management which allows automation and consistency across development and production environment. Despite promise for deficient and scalable deployments, IaC has inbuilt challenge specially related to the potential for human error and difficulty to ensure reliability and correctness of configuration. The aim of this research paper is to explore the integration of automated validation technique into IaC workflow which can enhance the reliability and accuracy of infrastructure deployments.</t>
  </si>
  <si>
    <t>Toprani, Dheer; Madisetti, Vijay K.</t>
  </si>
  <si>
    <t>This paper presents a multi-agent, AI-driven strategy employing Large Language Models (LLMs), retrieval-augmented generation, and a continuously updated knowledge base for the detection and remediation of security vulnerabilities in cloud frameworks. By examining Infrastructure as Code (IaC) templates alongside pertinent best-practice snippets, the system discerns context-specific misconfigurations commonly overlooked by static tools, achieving a detection rate of 85% with some occurrences of false positives. Automated remediation guidance, anchored in current security standards, provides actionable solutions that seamlessly integrate into standard continuous integration/continuous development (CI/CD) workflows. Experimental results indicate the solution’s efficacy and scalability, heralding a proactive, contextaware approach to IaC security.</t>
  </si>
  <si>
    <t>Best practices; Security; Static analysis; Organizations; Large language models; Infrastructure-as-Code; Scalability; Vectors; Runtime; Cognition; CI/CD; Large Language Models; LLM Workflows; Retrieval augmented generation; Security Automation; Vulnerability Detection</t>
  </si>
  <si>
    <t>Malul, Ehud; Meidan, Yair; Mimran, Dudu; Elovici, Yuval; Shabtai, Asaf</t>
  </si>
  <si>
    <t>GenKubeSec: LLM-Based Kubernetes Misconfiguration Detection, Localization, Reasoning, and Remediation</t>
  </si>
  <si>
    <t>http://arxiv.org/abs/2405.19954</t>
  </si>
  <si>
    <t>A key challenge associated with Kubernetes configuration files (KCFs) is that they are often highly complex and error-prone, leading to security vulnerabilities and operational setbacks. Rule-based (RB) tools for KCF misconfiguration detection rely on static rule sets, making them inherently limited and unable to detect newly-discovered misconfigurations. RB tools also suffer from misdetection, since mistakes are likely when coding the detection rules. Recent methods for detecting and remediating KCF misconfigurations are limited in terms of their scalability and detection coverage, or due to the fact that they have high expertise requirements and do not offer automated remediation along with misconfiguration detection. Novel approaches that employ LLMs in their pipeline rely on API-based, general-purpose, and mainly commercial models. Thus, they pose security challenges, have inconsistent classification performance, and can be costly. In this paper, we propose GenKubeSec, a comprehensive and adaptive, LLM-based method, which, in addition to detecting a wide variety of KCF misconfigurations, also identifies the exact location of the misconfigurations and provides detailed reasoning about them, along with suggested remediation. When empirically compared with three industry-standard RB tools, GenKubeSec achieved equivalent precision (0.990) and superior recall (0.999). When a random sample of KCFs was examined by a Kubernetes security expert, GenKubeSec's explanations as to misconfiguration localization, reasoning and remediation were 100% correct, informative and useful. To facilitate further advancements in this domain, we share the unique dataset we collected, a unified misconfiguration index we developed for label standardization, our experimentation code, and GenKubeSec itself as an open-source tool.</t>
  </si>
  <si>
    <t>Computer Science - Cryptography and Security; Computer Science - Distributed, Parallel, and Cluster Computing; Computer Science - Computation and Language; Computer Science - Machine Learning</t>
  </si>
  <si>
    <t>Lian, Xinyu; Chen, Yinfang; Cheng, Runxiang; Huang, Jie; Thakkar, Parth; Zhang, Minjia; Xu, Tianyin</t>
  </si>
  <si>
    <t>Configuration Validation with Large Language Models</t>
  </si>
  <si>
    <t>http://arxiv.org/abs/2310.09690</t>
  </si>
  <si>
    <t>Misconfigurations are major causes of software failures. Existing practices rely on developer-written rules or test cases to validate configurations, which are expensive. Machine learning (ML) for configuration validation is considered a promising direction, but has been facing challenges such as the need of large-scale field data and system-specific models. Recent advances in Large Language Models (LLMs) show promise in addressing some of the long-lasting limitations of ML-based configuration validation. We present a first analysis on the feasibility and effectiveness of using LLMs for configuration validation. We empirically evaluate LLMs as configuration validators by developing a generic LLM-based configuration validation framework, named Ciri. Ciri employs effective prompt engineering with few-shot learning based on both valid configuration and misconfiguration data. Ciri checks outputs from LLMs when producing results, addressing hallucination and nondeterminism of LLMs. We evaluate Ciri's validation effectiveness on eight popular LLMs using configuration data of ten widely deployed open-source systems. Our analysis (1) confirms the potential of using LLMs for configuration validation, (2) explores design space of LLMbased validators like Ciri, and (3) reveals open challenges such as ineffectiveness in detecting certain types of misconfigurations and biases towards popular configuration parameters.</t>
  </si>
  <si>
    <t>Computer Science - Software Engineering; Computer Science - Artificial Intelligence; Computer Science - Operating Systems</t>
  </si>
  <si>
    <t>Cloud computing has become popular thanks to the widespread use of Infrastructure as Code (IaC) tools, allowing the community to manage and configure cloud infrastructure using scripts. However, the scripting process does not automatically prevent practitioners from introducing misconfigurations, vulnerabilities, or privacy risks. As a result, ensuring security relies on practitioners’ understanding and the adoption of explicit policies. To understand how practitioners deal with this problem, we perform an empirical study analyzing the adoption of scripted security best practices present in Terraform files, applied on AWS, Azure, and Google Cloud. We assess the adoption of these practices by analyzing a sample of 812 open-source GitHub projects. We scan each project’s configuration files, looking for policy implementation through static analysis (Checkov and Tfsec). The category Access policy emerges as the most widely adopted in all providers, while Encryption at rest presents the most neglected policies. Regarding the cloud providers, we observe that AWS and Azure present similar behavior regarding attended and neglected policies. Finally, we provide guidelines for cloud practitioners to limit infrastructure vulnerability and discuss further aspects associated with policies that have yet to be extensively embraced within the industry.</t>
  </si>
  <si>
    <t>Infrastructure as code; Policy misconfiguration; Security vulnerabilities</t>
  </si>
  <si>
    <t>Ebert, Christof; Gallardo, Gorka; Hernantes, Josune; Serrano, Nicolás</t>
  </si>
  <si>
    <t>DevOps 2.0</t>
  </si>
  <si>
    <t>https://ieeexplore.ieee.org/abstract/document/10884665</t>
  </si>
  <si>
    <t>DevOps is increasingly used. It evolves along new needs and lessons learned into DevOps 2.0. This article provides current industry experiences such as DevOps with AI, coping with regression tests, latest tools for DevOps cycles and more.</t>
  </si>
  <si>
    <t>DevOps; Codes; Java; Industries; Information technology; Software development management; Artificial intelligence; Digital arithmetic</t>
  </si>
  <si>
    <t>Khan, Ahmad Faraz; Khan, Azal Ahmad; Mohamed, Anas; Ali, Haider; Moolinti, Suchithra; Haroon, Sabaat; Tahir, Usman; Fazzini, Mattia; Butt, Ali R.; Anwar, Ali</t>
  </si>
  <si>
    <t>LADs: Leveraging LLMs for AI-Driven DevOps</t>
  </si>
  <si>
    <t>http://arxiv.org/abs/2502.20825</t>
  </si>
  <si>
    <t>Automating cloud configuration and deployment remains a critical challenge due to evolving infrastructures, heterogeneous hardware, and fluctuating workloads. Existing solutions lack adaptability and require extensive manual tuning, leading to inefficiencies and misconfigurations. We introduce LADs, the first LLM-driven framework designed to tackle these challenges by ensuring robustness, adaptability, and efficiency in automated cloud management. Instead of merely applying existing techniques, LADs provides a principled approach to configuration optimization through in-depth analysis of what optimization works under which conditions. By leveraging Retrieval-Augmented Generation, Few-Shot Learning, Chain-of-Thought, and Feedback-Based Prompt Chaining, LADs generates accurate configurations and learns from deployment failures to iteratively refine system settings. Our findings reveal key insights into the trade-offs between performance, cost, and scalability, helping practitioners determine the right strategies for different deployment scenarios. For instance, we demonstrate how prompt chaining-based adaptive feedback loops enhance fault tolerance in multi-tenant environments and how structured log analysis with example shots improves configuration accuracy. Through extensive evaluations, LADs reduces manual effort, optimizes resource utilization, and improves system reliability. By open-sourcing LADs, we aim to drive further innovation in AI-powered DevOps automation.</t>
  </si>
  <si>
    <t>Computer Science - Software Engineering; Computer Science - Distributed, Parallel, and Cluster Computing; Computer Science - Artificial Intelligence; Computer Science - Machine Learning</t>
  </si>
  <si>
    <t>Srivatsa, Kalahasti Ganesh; Mukhopadhyay, Sabyasachi; Katrapati, Ganesh; Shrivastava, Manish</t>
  </si>
  <si>
    <t>A Survey of using Large Language Models for Generating Infrastructure as Code</t>
  </si>
  <si>
    <t>http://arxiv.org/abs/2404.00227</t>
  </si>
  <si>
    <t>Infrastructure as Code (IaC) is a revolutionary approach which has gained significant prominence in the Industry. IaC manages and provisions IT infrastructure using machine-readable code by enabling automation, consistency across the environments, reproducibility, version control, error reduction and enhancement in scalability. However, IaC orchestration is often a painstaking effort which requires specialised skills as well as a lot of manual effort. Automation of IaC is a necessity in the present conditions of the Industry and in this survey, we study the feasibility of applying Large Language Models (LLM) to address this problem. LLMs are large neural network-based models which have demonstrated significant language processing abilities and shown to be capable of following a range of instructions within a broad scope. Recently, they have also been adapted for code understanding and generation tasks successfully, which makes them a promising choice for the automatic generation of IaC configurations. In this survey, we delve into the details of IaC, usage of IaC in different platforms, their challenges, LLMs in terms of code-generation aspects and the importance of LLMs in IaC along with our own experiments. Finally, we conclude by presenting the challenges in this area and highlighting the scope for future research.</t>
  </si>
  <si>
    <t>Computer Science - Software Engineering; Computer Science - Computation and Language</t>
  </si>
  <si>
    <t>Palavalli, Mayur Amarnath; Santolucito, Mark</t>
  </si>
  <si>
    <t>Using a Feedback Loop for LLM-based Infrastructure as Code Generation</t>
  </si>
  <si>
    <t>http://arxiv.org/abs/2411.19043</t>
  </si>
  <si>
    <t>Code generation with Large Language Models (LLMs) has helped to increase software developer productivity in coding tasks, but has yet to have significant impact on the tasks of software developers that surround this code. In particular, the challenge of infrastructure management remains an open question. We investigate the ability of an LLM agent to construct infrastructure using the Infrastructure as Code (IaC) paradigm. We particularly investigate the use of a feedback loop that returns errors and warnings on the generated IaC to allow the LLM agent to improve the code. We find that, for each iteration of the loop, its effectiveness decreases exponentially until it plateaus at a certain point and becomes ineffective.</t>
  </si>
  <si>
    <t>Computer Science - Software Engineering; Computer Science - Artificial Intelligence</t>
  </si>
  <si>
    <t>Madeyski, Lech; Lewowski, Tomasz</t>
  </si>
  <si>
    <t>Detecting code smells using industry-relevant data</t>
  </si>
  <si>
    <t>https://www.sciencedirect.com/science/article/pii/S095058492200221X</t>
  </si>
  <si>
    <t>Context Code smells are patterns in source code associated with an increased defect rate and a higher maintenance effort than usual, but without a clear definition. Code smells are often detected using rules hard-coded in detection tools. Such rules are often set arbitrarily or derived from data sets tagged by reviewers without the necessary industrial know-how. Conclusions from studying such data sets may be unreliable or even harmful, since algorithms may achieve higher values of performance metrics on them than on models tagged by experts, despite not being industrially useful. Objective Our goal is to investigate the performance of various machine learning algorithms for automated code smell detection trained on code smell data set(MLCQ) derived from actively developed and industry-relevant projects and reviews performed by experienced software developers. Method We assign the severity of the smell to the code sample according to a consensus between the severities assigned by the reviewers, use the Matthews Correlation Coefficient (MCC) as our main performance metric to account for the entire confusion matrix, and compare the median value to account for non-normal distributions of performance. We compare 6720 models built using eight machine learning techniques. The entire process is automated and reproducible. Results Performance of compared techniques depends heavily on analyzed smell. The median value of our performance metric for the best algorithm was 0.81 for Long Method, 0.31 for Feature Envy, 0.51 for Blob, and 0.57 for Data Class. Conclusions Random Forest and Flexible Discriminant Analysis performed the best overall, but in most cases the performance difference between them and the median algorithm was no more than 10% of the latter. The performance results were stable over multiple iterations. Although the F-score omits one quadrant of the confusion matrix (and thus may differ from MCC), in code smell detection, the actual differences are minimal.</t>
  </si>
  <si>
    <t>Software engineering; Machine learning; Code smells; Reproducible research</t>
  </si>
  <si>
    <t>MLCQ: Industry-Relevant Code Smell Data Set</t>
  </si>
  <si>
    <t>https://dl.acm.org/doi/10.1145/3383219.3383264</t>
  </si>
  <si>
    <t>Context Research on code smells accelerates and there are many studies that discuss them in the machine learning context. However, while data sets used by researchers vary in quality, all which we encountered share visible shortcomings---data sets are gathered from a rather small number of often outdated projects by single individuals whose professional experience is unknown.Aim This study aims to provide a new data set that addresses the aforementioned issues and, additionally, opens new research opportunities.Method We collaborate with professional software developers (including the code quest company behind the codebeat automated code review platform integrated with GitHub) to review code samples with respect to bad smells. We do not provide additional hints as to what do we mean by a given smell, because our goal is to extract professional developers' contemporary understanding of code smells instead of imposing thresholds from the legacy literature. We gather samples from active open source projects manually verified for industry-relevance and provide repository links and revisions. Records in our MLCQ data set contain the type of smell, its severity and the exact location in source code, but do not contain any source code metrics which can be calculated using various tools. To open new research opportunities, we provide results of an extensive survey of developers involved in the study including a wide range of details concerning their professional experience in software development and many other characteristics. This allows us to track each code review to the developer's background. To the best of our knowledge, this is a unique trait of the presented data set.Conclusions The MLCQ data set with nearly 15000 code samples was created by software developers with professional experience who reviewed industry-relevant, contemporary Java open source projects. We expect that this data set should stay relevant for a longer time than data sets that base on code released years ago and, additionally, will enable researchers to investigate the relationship between developers' background and code smells' perception.</t>
  </si>
  <si>
    <t>Suonsyrjä, Sampo; Hokkanen, Laura; Terho, Henri; Systä, Kari; Mikkonen, Tommi</t>
  </si>
  <si>
    <t>Post-Deployment Data: A Recipe for Satisfying Knowledge Needs in Software Development?</t>
  </si>
  <si>
    <t>https://ieeexplore.ieee.org/document/7809601/citations</t>
  </si>
  <si>
    <t>In the field of improving software processes, one of the clear trends has been the ever tighter engagement of end users in the software development process. This is demonstrated by the shift from Agile processes to Continuous Deployment, which requires more rapid ways to validate the developed software and its value than is possible with traditional communication mechanisms and methods, such as face to face conversations with customers. While post-deployment data has been used for years as an extra data source - companies like Microsoft and Intuit have moved a few steps further from that already - we believe that there are numerous uncovered ways of taking advantage of post-deployment data in software development. In this paper, we study how automatically collected post-deployment data could be used for responding to knowledge needs of software development teams. The paper builds on data collected from a number of companies operating in Finland using a questionnaire study. The focus of questionnaire study was to approach post-deployment data - especially usage data - as means of getting information to support understanding of customer and end users.</t>
  </si>
  <si>
    <t>Software engineering; Software; Market research; Testing; Software measurement; Companies; agile software development; Face; post-deployment data; Software development; software usage data</t>
  </si>
  <si>
    <t>2016 Joint Conference of the International Workshop on Software Measurement and the International Conference on Software Process and Product Measurement (IWSM-MENSURA)</t>
  </si>
  <si>
    <t>Cito, Jürgen; Wettinger, Johannes; Lwakatare, Lucy Ellen; Borg, Markus; Li, Fei</t>
  </si>
  <si>
    <t>Feedback from Operations to Software Development—A DevOps Perspective on Runtime Metrics and Logs</t>
  </si>
  <si>
    <t>https://drive.google.com/file/d/1Pu9VctlOrrM7e8TnCZe9F1njMFX12ElG/view?usp=sharing</t>
  </si>
  <si>
    <t>DevOps achieve synergy between software development and operations engineers. This synergy can only happen if the right culture is in place to foster communication between these roles. We investigate the relationship between runtime data generated during production and how this data can be used as feedback in the software development process. For that, we want to discuss case study organizations that have different needs on their operations-to-development feedback pipeline, from which we abstract and propose a more general, higher-level feedback process. Given such a process, we discuss a technical environment required to support this process. We sketch out different scenarios in which feedback is useful in different phases of the software development life-cycle.</t>
  </si>
  <si>
    <t>Vanam, Ganesh; Scholar II, Research</t>
  </si>
  <si>
    <t>Infrastructure Automation in Cloud Computing: A Systematic Review of Technologies, Implementation Patterns, and Organizational Impact</t>
  </si>
  <si>
    <t>https://www.researchgate.net/publication/387688634_Infrastructure_Automation_in_Cloud_Computing_A_Systematic_Review_of_Technologies_Implementation_Patterns_and_Organizational_Impact</t>
  </si>
  <si>
    <t>Infrastructure automation has emerged as a fundamental paradigm shift in modern cloud computing, transforming how organizations deploy, manage, and scale their IT environments. This comprehensive article examines infrastructure automation technologies' evolution, implementation patterns, and organizational impact in contemporary cloud architectures. Through systematic analysis of current tools, methodologies, and industry practices, this article explores the intersection of Infrastructure as Code (IaC), configuration management, and automated orchestration in multi-cloud environments. The article investigates key automation frameworks, Ganesh Vanam https://iaeme.com/Home/journal/IJCET 56 editor@iaeme.com including Terraform, Ansible, and Chef, evaluating their effectiveness in addressing critical challenges such as deployment efficiency, error reduction, and operational scalability. Furthermore, it examines the implications of automation on disaster recovery, security compliance, and business agility. The findings reveal significant correlations between infrastructure automation adoption and operational efficiency while highlighting crucial considerations for successful implementation. This article contributes to the growing body of knowledge in cloud computing by providing a structured framework for understanding infrastructure automation's role in modern IT environments and offering practical insights for practitioners and researchers.</t>
  </si>
  <si>
    <t>Zhang, Jialu; Piskac, Ruzica; Zhai, Ennan; Xu, Tianyin</t>
  </si>
  <si>
    <t>Static detection of silent misconfigurations with deep interaction analysis</t>
  </si>
  <si>
    <t>https://dl.acm.org/doi/10.1145/3485517</t>
  </si>
  <si>
    <t>The behavior of large systems is guided by their configurations: users set parameters in the configuration file to dictate which corresponding part of the system code is executed. However, it is often the case that, although some parameters are set in the configuration file, they do not influence the system runtime behavior, thus failing to meet the user’s intent. Moreover, such misconfigurations rarely lead to an error message or raising an exception. We introduce the notion of silent misconfigurations which are prohibitively hard to identify due to (1) lack of feedback and (2) complex interactions between configurations and code.  This paper presents ConfigX, the first tool for the detection of silent misconfigurations. The main challenge is to understand the complex interactions between configurations and the code that they affected. Our goal is to derive a specification describing non-trivial interactions between the configuration parameters that lead to silent misconfigurations. To this end, ConfigX uses static analysis to determine which parts of the system code are associated with configuration parameters. ConfigX then infers the connections between configuration parameters by analyzing their associated code blocks. We design customized control- and data-flow analysis to derive a specification of configurations. Additionally, we conduct reachability analysis to eliminate spurious rules to reduce false positives. Upon evaluation on five real-world datasets across three widely-used systems, Apache, vsftpd, and PostgreSQL, ConfigX detected more than 2200 silent misconfigurations. We additionally conducted a user study where we ran ConfigX on misconfigurations reported on user forums by real-world users. ConfigX easily detected issues and suggested repairs for those misconfigurations. Our solutions were accepted and confirmed in the interaction with the users, who originally posted the problems.</t>
  </si>
  <si>
    <t>Dalla Palma, Stefano; van Asseldonk, Chiel; Catolino, Gemma; Di Nucci, Dario; Palomba, Fabio; Tamburri, Damian A.</t>
  </si>
  <si>
    <t>Infrastructure-as-code (IaC) helps keep up with the demand for fast, reliable, high-quality services by provisioning and managing infrastructures through configuration files. Those files ensure efficient and repeatable routines for system provisioning, but they might be affected by code smells that negatively affect quality and code maintenance. Research has broadly studied code smells for traditional source code development; however, none explored them in the “Topology and Orchestration Specification for Cloud Applications” (TOSCA), the technology-agnostic OASIS standard for IaC. In this paper, we investigate a prominent traditional implementation code smell potentially applicable to TOSCA: Large Class, or “Blob Blueprint” in IaC terms. We compare metrics-based and unsupervised learning-based detectors on a large dataset of manually validated observations related to Blob Blueprints. We provide insights on code metrics that corroborate previous findings and empirically show that metrics-based detectors perform highly in detecting Blob Blueprints. We deem our results put forward a new research path toward dealing with this problem, for example, in the scope of fully automated service pipelines.</t>
  </si>
  <si>
    <t>code smells; infrastructure-as-code; metrics-based detectors; TOSCA; unsupervised learning</t>
  </si>
  <si>
    <t>Dezhabad, Naghmeh; Ganti, Sudhakar; Shoja, Gholamali</t>
  </si>
  <si>
    <t>Cloud Workload Characterization and Profiling for Resource Allocation</t>
  </si>
  <si>
    <t>https://ieeexplore.ieee.org/document/9064138/citations</t>
  </si>
  <si>
    <t>Cloud providers aim to efficiently deliver diverse services on demand to users. Recently, they coined the idea of an auction-based market for their resources with the goal of increasing the total revenues. To address the challenge of scheduling and pricing, we build usage profiles for cloud workloads and predict future demands. In this paper, we first present a new methodology to categorize workloads according to their resource usage. We employ a modified hierarchical clustering algorithm that gives us three demand profiles for batch jobs designated as low, medium and high. After that, we extract the number of arrival requests per time for each group. The methodology presented here provides insights to cloud service providers in optimizing resource allocation and improving profits.</t>
  </si>
  <si>
    <t>Task analysis; Cloud computing; Resource management; Google; Alibaba dataset; batch processing; cloud demand prediction; Clustering algorithms; Computer science; Pricing; semi-supervised learning; spot instances; Workload Characterization</t>
  </si>
  <si>
    <t>2019 IEEE 8th International Conference on Cloud Networking (CloudNet)</t>
  </si>
  <si>
    <t>Dezhabad, Naghmeh; Ganti, Sudhakar; Shoja, Gholamali C</t>
  </si>
  <si>
    <t>An Optimum Decision Making Framework for Allocating Spot Instances to Execute Batch Workload in Cloud</t>
  </si>
  <si>
    <t>https://ieeexplore.ieee.org/document/9644915</t>
  </si>
  <si>
    <t>Among all available cloud-based solutions, spot instances are ideal for batch job execution with flexible completion times and failure tolerance. The combination of spot instance sizes and prices provides flexibility to execute jobs satisfactorily with regards to their computational requirements. However, the demand for each type of batch instance fluctuates over time and it raises some challenges to provide adequate instances to match the workload demand. This makes it necessary to have a mechanism to dynamically adjust the number of instances and assign them to the incoming jobs.In this paper, we propose an optimization-based solution to allocate spot resources for executing arriving batch jobs in the cloud platforms over time. This method manages the trade-off between the cost of renting spot instances and the user-centric quality of service in terms of job waiting time. Given a set of jobs and spot instances of various types, our algorithm selects the best combination of instances in each analysis window. In addition, the method takes into account the job arrival prediction and characteristics of input jobs to adapt the algorithm.</t>
  </si>
  <si>
    <t>Costs; machine learning; Deep learning; spot instances; batch workload; Decision making; discrete optimization; Low latency communication; Prediction algorithms; Quality of service; resource assignment</t>
  </si>
  <si>
    <t>2021 IEEE Intl Conf on Parallel &amp; Distributed Processing with Applications, Big Data &amp; Cloud Computing, Sustainable Computing &amp; Communications, Social Computing &amp; Networking (ISPA/BDCloud/SocialCom/SustainCom)</t>
  </si>
  <si>
    <t>Aviv, Itzhak; Gafni, Ruti; Sherman, Sofia; Aviv, Berta; Sterkin, Asher; Bega, Etzik</t>
  </si>
  <si>
    <t>Infrastructure From Code: The Next Generation of Cloud Lifecycle Automation</t>
  </si>
  <si>
    <t>https://ieeexplore.ieee.org/document/9908145</t>
  </si>
  <si>
    <t>We identify 14 fundamental cloud infrastructure procedures (CIPs) applicable to software development processes on the public cloud and their associated challenges. We then evaluate the capabilities of leading cloud automation technologies, such as infrastructure as code, and pinpoint their gaps in enabling the CIPs.</t>
  </si>
  <si>
    <t>Software engineering; Codes; Security; Automation; Cloud computing; Costs; Optimization</t>
  </si>
  <si>
    <t>Salant, Eliot; Leitner, Philipp; Wallbom, Karl; Ahtes, James</t>
  </si>
  <si>
    <t>A framework for a cost-efficient cloud ecosystem</t>
  </si>
  <si>
    <t>https://ieeexplore.ieee.org/document/7441074</t>
  </si>
  <si>
    <t>Cloud Computing has developed rapidly over the last ten years with worldwide spending on public and private cloud hosting passing the $32bn. mark this year, and savings to businesses using the cloud are typically stated as better than 30% due to the cloud's ability to better take advantage of economies of scale. Yet, in actuality, in commercial data centres the utilization of resources still remain low. In this paper we introduce a new approach from CloudWave which uses user-defined performance goals as well as monitoring across the Cloud ecosystem as a means for guiding runtime adaptation of both the cloud infrastructure and the hosted service to improve overall performance. In addition, inspired by the current industry trend of DevOps methodology, CloudWave feeds runtime performance and monitoring insights back to the DevOps engineers to enable identification and refactoring of problematic code sections. The potential impact for improving data centre efficiency is huge - as Google researcher John Wilkes has pointed out that at such large scales, "A few percent here, a few percent there, and all of the sudden, you're talking about huge amounts of money". After two years of research, the CloudWave platform is starting to test its ideas on actual applications, which in turn is exposing new avenues for research.</t>
  </si>
  <si>
    <t>Decision support systems; Electronic mail; Facsimile; Information management; Service-oriented architecture</t>
  </si>
  <si>
    <t>eChallenges e-2015 Conference</t>
  </si>
  <si>
    <t>Sedki, Issam; Hamou-Lhadj, Abdelwahab; Ait-Mohamed, Otmane; Shehab, Mohammed A.</t>
  </si>
  <si>
    <t>An Effective Approach for Parsing Large Log Files</t>
  </si>
  <si>
    <t>https://ieeexplore.ieee.org/document/9978179</t>
  </si>
  <si>
    <t>Because of their contribution to the overall reliability assurance process, software logs have become important data assets for the analysis of software systems. Logs are often the only data points that can shed light on how a software system behaves once deployed. Unfortunately, logs are often unstructured data items, hindering viable analysis of their content. There are studies that aim to automatically parse large log files. The primary goal is to create templates from raw log data samples that can later be used to recognize future logs. In this paper, we propose ULP, a Unified Log Parsing tool, which is highly accurate and efficient. ULP combines string matching and local frequency analysis to parse large log files in an efficient manner. First, log events are organized into groups using a text processing method. Frequency analysis is then applied locally to instances of the same group to identify static and dynamic content of log events. When applied to 10 log datasets of the LogPai benchmark, ULP achieves an average accuracy of 89.2%, which outperforms the accuracy of four leading log parsing tools, namely Drain, Logram, SPELL and AEL. Additionally, ULP can parse up to four million log events in less than 3 minutes. ULP is available online as an open source and can be readily used by practitioners and researchers to parse effectively and efficiently large log files so as to support log analysis tasks.</t>
  </si>
  <si>
    <t>Software systems; Maintenance engineering; Software reliability; Software maintenance; Focusing; Training; Heuristic algorithms; Log Abstraction; Log Analytics; Log Parsing; Software Logging; Software Maintenance and Evolution</t>
  </si>
  <si>
    <t>Cito, Jürgen; Mazlami, Genc; Leitner, Philipp</t>
  </si>
  <si>
    <t>TemPerf: temporal correlation between performance metrics and source code</t>
  </si>
  <si>
    <t>https://dl.acm.org/doi/10.1145/2945408.2945420</t>
  </si>
  <si>
    <t>Today's rapidly evolving software systems continuously introduce new changes that can potentially degrade performance. Large-scale load testing prior to deployment is supposed to avoid performance regressions in production. However, due to the large input space in parameterized load testing, not all performance regressions can be prevented in practice. To support developers in identifying the change sets that had an impact on performance, we present TemPerf, a tool that correlates performance regressions with change sets by exploiting temporal constraints. It is implemented as an Eclipse IDE plugin that allows developers to visualize performance developments over time and display temporally correlated change sets retrieved from version control and continuous integration platforms.</t>
  </si>
  <si>
    <t>Cito, Jürgen</t>
  </si>
  <si>
    <t>Developer targeted analytics: supporting software development decisions with runtime information</t>
  </si>
  <si>
    <t>https://dl.acm.org/doi/10.1145/2970276.2975939</t>
  </si>
  <si>
    <t>Runtime information of deployed software has been used by business and operations units to make informed decisions under the term ``analytics". However, decisions made by software engineers in the course of evolving software have, for the most part, been based on personal belief and gut-feeling. This could be attributed to software development being, for the longest time, viewed as an activity that is detached from the notion of operating software in a production environment. In recent years, this view has been challenged with the emergence of the DevOps movement, which aim is to promote cross-functional capabilities of development and operations activities within teams. This shift in process and mindset requires analytics tools that specifically target software developers. In this research, I investigate approaches to support developers in their decision-making by incorporating runtime information in source code and provide live feedback in IDEs by predicting the impact of code changes.</t>
  </si>
  <si>
    <t>Leitner, Philipp; Cito, Jürgen; Stöckli, Emanuel</t>
  </si>
  <si>
    <t>Modelling and managing deployment costs of microservice-based cloud applications</t>
  </si>
  <si>
    <t>https://dl.acm.org/doi/10.1145/2996890.2996901</t>
  </si>
  <si>
    <t>We present an approach to model the deployment costs, including compute and IO costs, of Microservice-based applications deployed to a public cloud. Our model, which we dubbed CostHat, supports both, Microservices deployed on traditional IaaS or PaaS clouds, and services that make use of novel cloud programming paradigms, such as AWS Lambda. CostHat is based on a network model, and allows for what-if and cost sensitivity analysis. Further, we have used this model to implement tooling that warns cloud developers directly in the Integrated Development Environment (IDE) about certain classes of potentially costly code changes. We illustrate our work based on a case study, and evaluate the CostHat model using a standalone Python implementation. We show that, once instantiated, cost calculation in CostHat is computationally inexpensive on standard hardware (below 1 ms even for applications consisting of thousand services and endpoints). This enables its use in real-time for developer tooling which continually re-evaluates the costs of an application in the background, while the developer is working on the code.</t>
  </si>
  <si>
    <t>Classifying collaborative approaches for cloud based collaborative software development</t>
  </si>
  <si>
    <t>https://ieeexplore.ieee.org/document/8253192</t>
  </si>
  <si>
    <t>Software development is an activity involving a remix set of different people, tools, practice culture, etcetera, and working towards an end goal. Achieving the goal necessitates that all these aspects work together towards the end goal. Furthermore, the size, complexity, longevity and tight delivery timelines of software projects, form part of the rationale for collaboration in software development processes. With the advent of Cloud computing, these factors have become more pronounced. Other factors such as increased distribution, have also become part of the rationale increasing the need for better collaborative approaches. Collaboration can take numerous forms and dimensions, but that does not necessarily mean that any form of collaborative approach is good for every scenario or context. There is no “one size fits all” approach. Different development contexts may require different collaborative approaches for greater effectiveness. So, which collaborative approach is right, and which is wrong, for Cloud-based software development lifecycle? This paper reviews literature with an aim of presenting a classification for collaborative approaches towards context-aware Cloud-based software development.</t>
  </si>
  <si>
    <t>Computer architecture; Tools; Cloud computing; Collaborative software; classification; cloud; collaborative approach; collaborative software development; Complexity theory</t>
  </si>
  <si>
    <t>2017 International Conference on the Frontiers and Advances in Data Science (FADS)</t>
  </si>
  <si>
    <t>Chiari, Michele; Xiang, Bin; Canzoneri, Sergio; Nedeltcheva, Galia Novakova; Di Nitto, Elisabetta; Blasi, Lorenzo; Benedetto, Debora; Niculut, Laurentiu; Škof, Igor</t>
  </si>
  <si>
    <t>DOML: A new modeling approach to Infrastructure-as-Code</t>
  </si>
  <si>
    <t>https://www.sciencedirect.com/science/article/pii/S0306437924000802</t>
  </si>
  <si>
    <t>One of the main DevOps practices is the automation of resource provisioning and deployment of complex software. This automation is enabled by the explicit definition of Infrastructure-as-Code (IaC), i.e., a set of scripts, often written in different modeling languages, which defines the infrastructure to be provisioned and applications to be deployed. We introduce the DevOps Modeling Language (DOML), a new Cloud modeling language for infrastructure deployments. DOML is a modeling approach that can be mapped into multiple IaC languages, addressing infrastructure provisioning, application deployment and configuration. The idea behind DOML is to use a single modeling paradigm which can help to reduce the need of deep technical expertise in using different specialized IaC languages. We present the DOML’s principles and discuss the related work on IaC languages. Furthermore, the advantages of the DOML for the end-user are demonstrated in comparison with some state-of-the-art IaC languages such as Ansible, Terraform, and Cloudify, and an evaluation of its effectiveness through several examples and a case study is provided.</t>
  </si>
  <si>
    <t>DevOps; Infrastructure-as-Code; DOML; Evaluation; IaC Modeling languages; Multi-layer modeling approach</t>
  </si>
  <si>
    <t>Carreira, Carolina; Saavedra, Nuno; Mendes, Alexandra; Ferreira, João F.</t>
  </si>
  <si>
    <t>From "Worse is Better" to Better: Lessons from a Mixed Methods Study of Ansible's Challenges</t>
  </si>
  <si>
    <t>http://arxiv.org/abs/2504.08678</t>
  </si>
  <si>
    <t>Infrastructure as Code (IaC) tools have transformed the way IT infrastructure is automated and managed, but their growing adoption has also exposed numerous challenges for practitioners. In this paper, we investigate these challenges through the lens of Ansible, a popular IaC tool. Using a mixed methods approach, we investigate challenges, obstacles, and issues faced by practitioners. We analyze 59,157 posts from Stack Overflow, Reddit, and the Ansible Forum to identify common pain points, complemented by 16 semi-structured interviews with practitioners of varying expertise levels. Based on our findings, we propose four main recommendations to improve Ansible: 1) refactoring to mitigate performance issues, 2) restructuring higher-level language concepts, 3) improved debugging and error reporting tools, and 4) better documentation and learning resources. By highlighting the real-world struggles of Ansible users, we provide actionable insights for tool designers, educators, and the broader IaC community, contributing to a deeper understanding of the trade-offs inherent in IaC tools.</t>
  </si>
  <si>
    <t>Computer Science - Software Engineering; Computer Science - Human-Computer Interaction</t>
  </si>
  <si>
    <t>Lessons from Research to Practice on Writing Better Quality Puppet Scripts</t>
  </si>
  <si>
    <t>The do’s and don’ts of infrastructure code: A systematic gray literature review</t>
  </si>
  <si>
    <t>IaC-Eval: A Code Generation Benchmark for Cloud Infrastructure-as-Code Programs</t>
  </si>
  <si>
    <t>Adoption, Support, and Challenges of Infrastructure-as-Code: Insights from Industry</t>
  </si>
  <si>
    <t>Do Experts Agree About Smelly Infrastructure?</t>
  </si>
  <si>
    <t>Query</t>
  </si>
  <si>
    <t>Results - link</t>
  </si>
  <si>
    <t>Results - numbers</t>
  </si>
  <si>
    <t>((("All Metadata": "Infrastructure as Code" OR "All Metadata": "IaC") AND ("All Metadata":"defect" OR "All Metadata":"bug" OR "All Metadata":"smell" OR "All Metadata":"anti-pattern" OR "All Metadata":"testing" OR "All Metadata":"analysis" OR "All Metadata":"verification") ))</t>
  </si>
  <si>
    <t>IEEE</t>
  </si>
  <si>
    <t>http://ieeexplore.ieee.org/search/searchresult.jsp?action=search&amp;matchBoolean=true&amp;newsearch=true&amp;queryText=(((%22All%20Metadata%22:%20%22Infrastructure%20as%20Code%22%20OR%20%22All%20Metadata%22:%20%22IaC%22)%20AND%20(%22All%20Metadata%22:%22defect%22%20OR%20%22All%20Metadata%22:%22bug%22%20OR%20%22All%20Metadata%22:%22smell%22%20OR%20%22All%20Metadata%22:%22anti-pattern%22%20OR%20%22All%20Metadata%22:%22testing%22%20OR%20%22All%20Metadata%22:%22analysis%22%20OR%20%22All%20Metadata%22:%22verification%22)%20))&amp;highlight=true&amp;returnType=SEARCH&amp;matchPubs=true&amp;rowsPerPage=25&amp;pageNumber=1&amp;returnFacets=ALL</t>
  </si>
  <si>
    <t>[[All: "infrastructure as code"] OR [All: "iac"]] AND [[All: "defect"] OR [All: "bug"] OR [All: "smell"] OR [All: "anti-pattern"] OR [All: "testing"] OR [All: "analysis"] OR [All: "verification"]]</t>
  </si>
  <si>
    <t>ACM</t>
  </si>
  <si>
    <t>https://dl.acm.org/action/doSearch?fillQuickSearch=false&amp;target=advanced&amp;expand=dl&amp;AllField=AllField%3A%28%28%22Infrastructure+as+Code%22+OR+%22IaC%22%29+AND+%28%22defect%22+OR+%22bug%22+OR+%22smell%22+OR+%22anti-pattern%22+OR+%22testing%22+OR+%22analysis%22+OR+%22verification%22%29%29</t>
  </si>
  <si>
    <t>("Infrastructure as Code") AND ("defect" OR "bug" OR "smell" OR "anti-pattern" OR "testing" OR  "analysis" OR "verification")</t>
  </si>
  <si>
    <t>Science Direct</t>
  </si>
  <si>
    <t>https://www.sciencedirect.com/search?qs=%28%22Infrastructure+as+Code%22%29+AND+%28%22defect%22+OR+%22bug%22+OR+%22smell%22+OR+%22anti-pattern%22+OR+%22testing%22+OR++%22analysis%22+OR+%22verification%22</t>
  </si>
  <si>
    <t>("Infrastructure as Code") AND ("defect" OR "bug" OR "smell" OR "anti-pattern" OR "testing" OR "analysis" OR "verification")</t>
  </si>
  <si>
    <t>Springer</t>
  </si>
  <si>
    <t>https://link.springer.com/search?query=%28%22Infrastructure+as+Code%22%29+AND+%28%22defect%22+OR+%22bug%22+OR+%22smell%22+OR+%22anti-pattern%22+OR+%22testing%22+OR+%22analysis%22+OR+%22verification%22%29&amp;advancedSearch=true&amp;dateFrom=&amp;dateTo=&amp;sortBy=relevance</t>
  </si>
  <si>
    <t>("Infrastructure as Code" OR "IaC") AND ("defect" OR "bug" OR "smell" OR "anti-pattern" OR "testing" OR "analysis" OR "verification")</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</si>
</sst>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color rgb="FF000000"/>
      <name val="Arial"/>
    </font>
    <font>
      <b/>
      <color theme="1"/>
      <name val="Arial"/>
    </font>
    <font>
      <color theme="1"/>
      <name val="Arial"/>
    </font>
    <font>
      <b/>
      <color theme="1"/>
      <name val="Arial"/>
      <scheme val="minor"/>
    </font>
    <font>
      <color theme="1"/>
      <name val="Arial"/>
      <scheme val="minor"/>
    </font>
    <font>
      <color rgb="FF000000"/>
      <name val="&quot;Open Sans&quot;"/>
    </font>
    <font>
      <u/>
      <color rgb="FF0000FF"/>
      <name val="Arial"/>
    </font>
    <font>
      <color rgb="FF000000"/>
      <name val="Arial"/>
    </font>
    <font>
      <u/>
      <color rgb="FF0000FF"/>
      <name val="Arial"/>
    </font>
    <font>
      <u/>
      <color rgb="FF0000FF"/>
      <name val="Arial"/>
    </font>
    <font>
      <u/>
      <color rgb="FF1155CC"/>
      <name val="Arial"/>
    </font>
    <font>
      <u/>
      <color rgb="FF1155CC"/>
      <name val="Arial"/>
    </font>
    <font>
      <u/>
      <color rgb="FF1155CC"/>
      <name val="Arial"/>
    </font>
    <font>
      <u/>
      <color rgb="FF1155CC"/>
      <name val="Arial"/>
    </font>
    <font>
      <u/>
      <color rgb="FF1155CC"/>
      <name val="Arial"/>
    </font>
    <font>
      <u/>
      <color rgb="FF1155CC"/>
    </font>
    <font>
      <color rgb="FF000000"/>
    </font>
    <font>
      <u/>
      <color rgb="FF0000FF"/>
    </font>
    <font>
      <u/>
      <color rgb="FF0000FF"/>
    </font>
    <font>
      <u/>
      <color rgb="FF1155CC"/>
      <name val="Arial"/>
    </font>
  </fonts>
  <fills count="12">
    <fill>
      <patternFill patternType="none"/>
    </fill>
    <fill>
      <patternFill patternType="lightGray"/>
    </fill>
    <fill>
      <patternFill patternType="solid">
        <fgColor rgb="FFFFFFFF"/>
        <bgColor rgb="FFFFFFFF"/>
      </patternFill>
    </fill>
    <fill>
      <patternFill patternType="solid">
        <fgColor rgb="FF4A86E8"/>
        <bgColor rgb="FF4A86E8"/>
      </patternFill>
    </fill>
    <fill>
      <patternFill patternType="solid">
        <fgColor rgb="FFFF9900"/>
        <bgColor rgb="FFFF9900"/>
      </patternFill>
    </fill>
    <fill>
      <patternFill patternType="solid">
        <fgColor rgb="FF00FFFF"/>
        <bgColor rgb="FF00FFFF"/>
      </patternFill>
    </fill>
    <fill>
      <patternFill patternType="solid">
        <fgColor rgb="FFA7D6B4"/>
        <bgColor rgb="FFA7D6B4"/>
      </patternFill>
    </fill>
    <fill>
      <patternFill patternType="solid">
        <fgColor rgb="FFEA9999"/>
        <bgColor rgb="FFEA9999"/>
      </patternFill>
    </fill>
    <fill>
      <patternFill patternType="solid">
        <fgColor rgb="FFF8F892"/>
        <bgColor rgb="FFF8F892"/>
      </patternFill>
    </fill>
    <fill>
      <patternFill patternType="solid">
        <fgColor rgb="FFFF0000"/>
        <bgColor rgb="FFFF0000"/>
      </patternFill>
    </fill>
    <fill>
      <patternFill patternType="solid">
        <fgColor rgb="FF00FF00"/>
        <bgColor rgb="FF00FF00"/>
      </patternFill>
    </fill>
    <fill>
      <patternFill patternType="solid">
        <fgColor rgb="FFC27BA0"/>
        <bgColor rgb="FFC27BA0"/>
      </patternFill>
    </fill>
  </fills>
  <borders count="7">
    <border/>
    <border>
      <left style="thick">
        <color rgb="FF000000"/>
      </left>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right style="thick">
        <color rgb="FF000000"/>
      </right>
      <bottom style="thick">
        <color rgb="FF000000"/>
      </bottom>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0" fillId="0" fontId="1" numFmtId="0" xfId="0" applyAlignment="1" applyFont="1">
      <alignment readingOrder="0" shrinkToFit="0" vertical="bottom" wrapText="1"/>
    </xf>
    <xf borderId="0" fillId="0" fontId="2" numFmtId="0" xfId="0" applyAlignment="1" applyFont="1">
      <alignment vertical="bottom"/>
    </xf>
    <xf borderId="0" fillId="2" fontId="1" numFmtId="0" xfId="0" applyAlignment="1" applyFill="1" applyFont="1">
      <alignment readingOrder="0" vertical="bottom"/>
    </xf>
    <xf borderId="0" fillId="2" fontId="2" numFmtId="0" xfId="0" applyAlignment="1" applyFont="1">
      <alignment vertical="bottom"/>
    </xf>
    <xf borderId="0" fillId="2" fontId="2" numFmtId="0" xfId="0" applyAlignment="1" applyFont="1">
      <alignment readingOrder="0" shrinkToFit="0" vertical="bottom" wrapText="1"/>
    </xf>
    <xf borderId="0" fillId="2" fontId="2" numFmtId="0" xfId="0" applyAlignment="1" applyFont="1">
      <alignment shrinkToFit="0" vertical="bottom" wrapText="1"/>
    </xf>
    <xf borderId="0" fillId="2" fontId="2" numFmtId="0" xfId="0" applyAlignment="1" applyFont="1">
      <alignment readingOrder="0" vertical="bottom"/>
    </xf>
    <xf borderId="0" fillId="2" fontId="2" numFmtId="0" xfId="0" applyAlignment="1" applyFont="1">
      <alignment readingOrder="0" shrinkToFit="0" vertical="center" wrapText="1"/>
    </xf>
    <xf borderId="0" fillId="0" fontId="2" numFmtId="0" xfId="0" applyAlignment="1" applyFont="1">
      <alignment readingOrder="0" shrinkToFit="0" vertical="bottom" wrapText="1"/>
    </xf>
    <xf borderId="0" fillId="0" fontId="3" numFmtId="0" xfId="0" applyAlignment="1" applyFont="1">
      <alignment readingOrder="0" vertical="bottom"/>
    </xf>
    <xf borderId="0" fillId="0" fontId="4" numFmtId="0" xfId="0" applyAlignment="1" applyFont="1">
      <alignment readingOrder="0"/>
    </xf>
    <xf borderId="0" fillId="0" fontId="4" numFmtId="0" xfId="0" applyAlignment="1" applyFont="1">
      <alignment readingOrder="0" shrinkToFit="0" wrapText="1"/>
    </xf>
    <xf borderId="0" fillId="2" fontId="5" numFmtId="0" xfId="0" applyFont="1"/>
    <xf borderId="0" fillId="2" fontId="6" numFmtId="0" xfId="0" applyAlignment="1" applyFont="1">
      <alignment readingOrder="0" shrinkToFit="0" wrapText="1"/>
    </xf>
    <xf borderId="0" fillId="0" fontId="7" numFmtId="0" xfId="0" applyAlignment="1" applyFont="1">
      <alignment readingOrder="0"/>
    </xf>
    <xf borderId="0" fillId="2" fontId="8" numFmtId="0" xfId="0" applyAlignment="1" applyFont="1">
      <alignment readingOrder="0"/>
    </xf>
    <xf borderId="0" fillId="2" fontId="3" numFmtId="0" xfId="0" applyFont="1"/>
    <xf borderId="0" fillId="2" fontId="3" numFmtId="0" xfId="0" applyAlignment="1" applyFont="1">
      <alignment readingOrder="0" shrinkToFit="0" wrapText="1"/>
    </xf>
    <xf borderId="0" fillId="2" fontId="3" numFmtId="0" xfId="0" applyAlignment="1" applyFont="1">
      <alignment readingOrder="0" shrinkToFit="0" wrapText="1"/>
    </xf>
    <xf borderId="0" fillId="2" fontId="3" numFmtId="0" xfId="0" applyAlignment="1" applyFont="1">
      <alignment readingOrder="0"/>
    </xf>
    <xf borderId="0" fillId="2" fontId="3" numFmtId="0" xfId="0" applyAlignment="1" applyFont="1">
      <alignment readingOrder="0" shrinkToFit="0" vertical="center" wrapText="1"/>
    </xf>
    <xf borderId="0" fillId="2" fontId="3" numFmtId="0" xfId="0" applyAlignment="1" applyFont="1">
      <alignment readingOrder="0" shrinkToFit="0" vertical="center" wrapText="1"/>
    </xf>
    <xf borderId="0" fillId="2" fontId="3" numFmtId="0" xfId="0" applyAlignment="1" applyFont="1">
      <alignment shrinkToFit="0" wrapText="1"/>
    </xf>
    <xf borderId="0" fillId="2" fontId="3" numFmtId="0" xfId="0" applyAlignment="1" applyFont="1">
      <alignment readingOrder="0" vertical="bottom"/>
    </xf>
    <xf borderId="0" fillId="0" fontId="9" numFmtId="0" xfId="0" applyAlignment="1" applyFont="1">
      <alignment readingOrder="0" vertical="bottom"/>
    </xf>
    <xf borderId="0" fillId="0" fontId="5" numFmtId="0" xfId="0" applyFont="1"/>
    <xf borderId="0" fillId="0" fontId="5" numFmtId="0" xfId="0" applyAlignment="1" applyFont="1">
      <alignment readingOrder="0"/>
    </xf>
    <xf borderId="0" fillId="0" fontId="5" numFmtId="0" xfId="0" applyAlignment="1" applyFont="1">
      <alignment readingOrder="0" shrinkToFit="0" wrapText="1"/>
    </xf>
    <xf borderId="0" fillId="0" fontId="10" numFmtId="0" xfId="0" applyAlignment="1" applyFont="1">
      <alignment readingOrder="0" vertical="bottom"/>
    </xf>
    <xf borderId="0" fillId="0" fontId="8" numFmtId="0" xfId="0" applyAlignment="1" applyFont="1">
      <alignment readingOrder="0" shrinkToFit="0" wrapText="1"/>
    </xf>
    <xf borderId="0" fillId="0" fontId="11" numFmtId="0" xfId="0" applyFont="1"/>
    <xf borderId="0" fillId="2" fontId="8" numFmtId="0" xfId="0" applyAlignment="1" applyFont="1">
      <alignment readingOrder="0"/>
    </xf>
    <xf borderId="0" fillId="0" fontId="12" numFmtId="0" xfId="0" applyAlignment="1" applyFont="1">
      <alignment readingOrder="0" vertical="bottom"/>
    </xf>
    <xf borderId="0" fillId="2" fontId="8" numFmtId="0" xfId="0" applyAlignment="1" applyFont="1">
      <alignment readingOrder="0" shrinkToFit="0" vertical="bottom" wrapText="1"/>
    </xf>
    <xf borderId="0" fillId="0" fontId="13" numFmtId="0" xfId="0" applyAlignment="1" applyFont="1">
      <alignment vertical="bottom"/>
    </xf>
    <xf borderId="0" fillId="2" fontId="3" numFmtId="0" xfId="0" applyAlignment="1" applyFont="1">
      <alignment vertical="bottom"/>
    </xf>
    <xf borderId="0" fillId="2" fontId="3" numFmtId="0" xfId="0" applyAlignment="1" applyFont="1">
      <alignment readingOrder="0" shrinkToFit="0" vertical="bottom" wrapText="1"/>
    </xf>
    <xf borderId="0" fillId="2" fontId="3" numFmtId="0" xfId="0" applyAlignment="1" applyFont="1">
      <alignment shrinkToFit="0" vertical="bottom" wrapText="1"/>
    </xf>
    <xf borderId="0" fillId="0" fontId="5" numFmtId="0" xfId="0" applyAlignment="1" applyFont="1">
      <alignment readingOrder="0" shrinkToFit="0" wrapText="1"/>
    </xf>
    <xf borderId="0" fillId="2" fontId="3" numFmtId="0" xfId="0" applyAlignment="1" applyFont="1">
      <alignment readingOrder="0"/>
    </xf>
    <xf borderId="0" fillId="2" fontId="8" numFmtId="0" xfId="0" applyAlignment="1" applyFont="1">
      <alignment readingOrder="0" shrinkToFit="0" wrapText="1"/>
    </xf>
    <xf borderId="0" fillId="0" fontId="14" numFmtId="0" xfId="0" applyAlignment="1" applyFont="1">
      <alignment readingOrder="0"/>
    </xf>
    <xf borderId="0" fillId="2" fontId="3" numFmtId="0" xfId="0" applyAlignment="1" applyFont="1">
      <alignment shrinkToFit="0" vertical="center" wrapText="1"/>
    </xf>
    <xf borderId="0" fillId="2" fontId="8" numFmtId="0" xfId="0" applyAlignment="1" applyFont="1">
      <alignment readingOrder="0" vertical="bottom"/>
    </xf>
    <xf borderId="0" fillId="2" fontId="3" numFmtId="0" xfId="0" applyAlignment="1" applyFont="1">
      <alignment readingOrder="0" vertical="bottom"/>
    </xf>
    <xf borderId="0" fillId="0" fontId="8" numFmtId="0" xfId="0" applyAlignment="1" applyFont="1">
      <alignment readingOrder="0" shrinkToFit="0" vertical="bottom" wrapText="1"/>
    </xf>
    <xf borderId="0" fillId="2" fontId="3" numFmtId="0" xfId="0" applyAlignment="1" applyFont="1">
      <alignment readingOrder="0" shrinkToFit="0" vertical="bottom" wrapText="1"/>
    </xf>
    <xf borderId="0" fillId="0" fontId="3" numFmtId="0" xfId="0" applyAlignment="1" applyFont="1">
      <alignment readingOrder="0" vertical="bottom"/>
    </xf>
    <xf borderId="0" fillId="2" fontId="8" numFmtId="0" xfId="0" applyAlignment="1" applyFont="1">
      <alignment readingOrder="0" shrinkToFit="0" vertical="top" wrapText="1"/>
    </xf>
    <xf borderId="0" fillId="2" fontId="15" numFmtId="0" xfId="0" applyFont="1"/>
    <xf borderId="0" fillId="0" fontId="3" numFmtId="0" xfId="0" applyAlignment="1" applyFont="1">
      <alignment vertical="bottom"/>
    </xf>
    <xf borderId="0" fillId="2" fontId="5" numFmtId="0" xfId="0" applyAlignment="1" applyFont="1">
      <alignment readingOrder="0"/>
    </xf>
    <xf borderId="0" fillId="2" fontId="5" numFmtId="0" xfId="0" applyAlignment="1" applyFont="1">
      <alignment readingOrder="0" shrinkToFit="0" wrapText="1"/>
    </xf>
    <xf borderId="0" fillId="2" fontId="5" numFmtId="0" xfId="0" applyAlignment="1" applyFont="1">
      <alignment readingOrder="0"/>
    </xf>
    <xf borderId="0" fillId="2" fontId="5" numFmtId="0" xfId="0" applyAlignment="1" applyFont="1">
      <alignment readingOrder="0" shrinkToFit="0" vertical="center" wrapText="1"/>
    </xf>
    <xf borderId="0" fillId="0" fontId="16" numFmtId="0" xfId="0" applyAlignment="1" applyFont="1">
      <alignment readingOrder="0"/>
    </xf>
    <xf borderId="0" fillId="0" fontId="17" numFmtId="0" xfId="0" applyAlignment="1" applyFont="1">
      <alignment readingOrder="0"/>
    </xf>
    <xf borderId="0" fillId="0" fontId="18" numFmtId="0" xfId="0" applyAlignment="1" applyFont="1">
      <alignment readingOrder="0"/>
    </xf>
    <xf borderId="0" fillId="0" fontId="19" numFmtId="0" xfId="0" applyAlignment="1" applyFont="1">
      <alignment readingOrder="0"/>
    </xf>
    <xf borderId="0" fillId="0" fontId="3" numFmtId="0" xfId="0" applyAlignment="1" applyFont="1">
      <alignment readingOrder="0" shrinkToFit="0" vertical="bottom" wrapText="1"/>
    </xf>
    <xf borderId="0" fillId="0" fontId="20" numFmtId="0" xfId="0" applyAlignment="1" applyFont="1">
      <alignment vertical="bottom"/>
    </xf>
    <xf borderId="0" fillId="2" fontId="8" numFmtId="0" xfId="0" applyAlignment="1" applyFont="1">
      <alignment vertical="bottom"/>
    </xf>
    <xf borderId="0" fillId="2" fontId="5" numFmtId="0" xfId="0" applyAlignment="1" applyFont="1">
      <alignment shrinkToFit="0" vertical="center" wrapText="1"/>
    </xf>
    <xf borderId="0" fillId="2" fontId="5" numFmtId="0" xfId="0" applyAlignment="1" applyFont="1">
      <alignment shrinkToFit="0" wrapText="1"/>
    </xf>
    <xf borderId="0" fillId="0" fontId="5" numFmtId="0" xfId="0" applyAlignment="1" applyFont="1">
      <alignment shrinkToFit="0" wrapText="1"/>
    </xf>
    <xf borderId="1" fillId="3" fontId="5" numFmtId="0" xfId="0" applyBorder="1" applyFill="1" applyFont="1"/>
    <xf borderId="2" fillId="3" fontId="5" numFmtId="0" xfId="0" applyBorder="1" applyFont="1"/>
    <xf borderId="0" fillId="4" fontId="5" numFmtId="0" xfId="0" applyFill="1" applyFont="1"/>
    <xf borderId="1" fillId="5" fontId="5" numFmtId="0" xfId="0" applyBorder="1" applyFill="1" applyFont="1"/>
    <xf borderId="2" fillId="5" fontId="5" numFmtId="0" xfId="0" applyBorder="1" applyFont="1"/>
    <xf borderId="3" fillId="3" fontId="5" numFmtId="0" xfId="0" applyBorder="1" applyFont="1"/>
    <xf borderId="4" fillId="3" fontId="5" numFmtId="0" xfId="0" applyBorder="1" applyFont="1"/>
    <xf borderId="3" fillId="5" fontId="5" numFmtId="0" xfId="0" applyBorder="1" applyFont="1"/>
    <xf borderId="4" fillId="5" fontId="5" numFmtId="0" xfId="0" applyBorder="1" applyFont="1"/>
    <xf borderId="5" fillId="3" fontId="5" numFmtId="0" xfId="0" applyBorder="1" applyFont="1"/>
    <xf borderId="6" fillId="3" fontId="5" numFmtId="0" xfId="0" applyBorder="1" applyFont="1"/>
    <xf borderId="1" fillId="6" fontId="5" numFmtId="0" xfId="0" applyBorder="1" applyFill="1" applyFont="1"/>
    <xf borderId="2" fillId="6" fontId="5" numFmtId="0" xfId="0" applyBorder="1" applyFont="1"/>
    <xf borderId="3" fillId="6" fontId="5" numFmtId="0" xfId="0" applyBorder="1" applyFont="1"/>
    <xf borderId="4" fillId="6" fontId="5" numFmtId="0" xfId="0" applyBorder="1" applyFont="1"/>
    <xf borderId="5" fillId="5" fontId="5" numFmtId="0" xfId="0" applyBorder="1" applyFont="1"/>
    <xf borderId="6" fillId="5" fontId="5" numFmtId="0" xfId="0" applyBorder="1" applyFont="1"/>
    <xf borderId="1" fillId="7" fontId="3" numFmtId="0" xfId="0" applyAlignment="1" applyBorder="1" applyFill="1" applyFont="1">
      <alignment vertical="bottom"/>
    </xf>
    <xf borderId="2" fillId="7" fontId="5" numFmtId="0" xfId="0" applyAlignment="1" applyBorder="1" applyFont="1">
      <alignment readingOrder="0"/>
    </xf>
    <xf borderId="3" fillId="7" fontId="3" numFmtId="0" xfId="0" applyAlignment="1" applyBorder="1" applyFont="1">
      <alignment vertical="bottom"/>
    </xf>
    <xf borderId="4" fillId="7" fontId="5" numFmtId="0" xfId="0" applyAlignment="1" applyBorder="1" applyFont="1">
      <alignment readingOrder="0"/>
    </xf>
    <xf borderId="4" fillId="6" fontId="5" numFmtId="0" xfId="0" applyAlignment="1" applyBorder="1" applyFont="1">
      <alignment readingOrder="0"/>
    </xf>
    <xf borderId="5" fillId="6" fontId="5" numFmtId="0" xfId="0" applyBorder="1" applyFont="1"/>
    <xf borderId="6" fillId="6" fontId="5" numFmtId="0" xfId="0" applyBorder="1" applyFont="1"/>
    <xf borderId="1" fillId="8" fontId="5" numFmtId="0" xfId="0" applyBorder="1" applyFill="1" applyFont="1"/>
    <xf borderId="2" fillId="8" fontId="5" numFmtId="0" xfId="0" applyBorder="1" applyFont="1"/>
    <xf borderId="3" fillId="8" fontId="5" numFmtId="0" xfId="0" applyBorder="1" applyFont="1"/>
    <xf borderId="4" fillId="8" fontId="5" numFmtId="0" xfId="0" applyBorder="1" applyFont="1"/>
    <xf borderId="5" fillId="8" fontId="5" numFmtId="0" xfId="0" applyBorder="1" applyFont="1"/>
    <xf borderId="6" fillId="8" fontId="5" numFmtId="0" xfId="0" applyBorder="1" applyFont="1"/>
    <xf borderId="5" fillId="7" fontId="3" numFmtId="0" xfId="0" applyAlignment="1" applyBorder="1" applyFont="1">
      <alignment vertical="bottom"/>
    </xf>
    <xf borderId="6" fillId="7" fontId="5" numFmtId="0" xfId="0" applyAlignment="1" applyBorder="1" applyFont="1">
      <alignment readingOrder="0"/>
    </xf>
    <xf borderId="1" fillId="9" fontId="5" numFmtId="0" xfId="0" applyBorder="1" applyFill="1" applyFont="1"/>
    <xf borderId="2" fillId="9" fontId="5" numFmtId="0" xfId="0" applyBorder="1" applyFont="1"/>
    <xf borderId="3" fillId="9" fontId="5" numFmtId="0" xfId="0" applyBorder="1" applyFont="1"/>
    <xf borderId="4" fillId="9" fontId="5" numFmtId="0" xfId="0" applyBorder="1" applyFont="1"/>
    <xf borderId="5" fillId="9" fontId="5" numFmtId="0" xfId="0" applyBorder="1" applyFont="1"/>
    <xf borderId="6" fillId="9" fontId="5" numFmtId="0" xfId="0" applyBorder="1" applyFont="1"/>
    <xf borderId="1" fillId="10" fontId="5" numFmtId="0" xfId="0" applyBorder="1" applyFill="1" applyFont="1"/>
    <xf borderId="2" fillId="10" fontId="5" numFmtId="0" xfId="0" applyBorder="1" applyFont="1"/>
    <xf borderId="5" fillId="10" fontId="5" numFmtId="0" xfId="0" applyBorder="1" applyFont="1"/>
    <xf borderId="6" fillId="10" fontId="5" numFmtId="0" xfId="0" applyBorder="1" applyFont="1"/>
    <xf borderId="1" fillId="11" fontId="5" numFmtId="0" xfId="0" applyBorder="1" applyFill="1" applyFont="1"/>
    <xf borderId="2" fillId="11" fontId="5" numFmtId="0" xfId="0" applyBorder="1" applyFont="1"/>
    <xf borderId="3" fillId="11" fontId="5" numFmtId="0" xfId="0" applyBorder="1" applyFont="1"/>
    <xf borderId="4" fillId="11" fontId="5" numFmtId="0" xfId="0" applyBorder="1" applyFont="1"/>
    <xf borderId="5" fillId="11" fontId="5" numFmtId="0" xfId="0" applyBorder="1" applyFont="1"/>
    <xf borderId="6" fillId="11" fontId="5" numFmtId="0" xfId="0" applyBorder="1" applyFont="1"/>
    <xf borderId="0" fillId="0" fontId="5" numFmtId="0" xfId="0" applyAlignment="1" applyFont="1">
      <alignment horizontal="left" readingOrder="0" shrinkToFit="0" vertical="center" wrapText="0"/>
    </xf>
    <xf borderId="0" fillId="0" fontId="5" numFmtId="0" xfId="0" applyAlignment="1" applyFont="1">
      <alignment horizontal="left" readingOrder="0" shrinkToFit="0" vertical="center" wrapText="0"/>
    </xf>
    <xf borderId="0" fillId="2" fontId="5" numFmtId="0" xfId="0" applyAlignment="1" applyFont="1">
      <alignment shrinkToFit="0" vertical="center" wrapText="0"/>
    </xf>
    <xf borderId="0" fillId="0" fontId="5" numFmtId="0" xfId="0" applyAlignment="1" applyFont="1">
      <alignment shrinkToFit="0" vertical="center" wrapText="0"/>
    </xf>
    <xf borderId="0" fillId="0" fontId="5" numFmtId="0" xfId="0" applyAlignment="1" applyFont="1">
      <alignment readingOrder="0" shrinkToFit="0" vertical="center" wrapText="0"/>
    </xf>
    <xf borderId="0" fillId="0" fontId="5" numFmtId="0" xfId="0" applyFont="1"/>
    <xf borderId="0" fillId="0" fontId="3" numFmtId="0" xfId="0" applyAlignment="1" applyFont="1">
      <alignment horizontal="right" vertical="bottom"/>
    </xf>
    <xf borderId="0" fillId="9" fontId="8" numFmtId="0" xfId="0" applyAlignment="1" applyFont="1">
      <alignment readingOrder="0" shrinkToFit="0" wrapText="1"/>
    </xf>
    <xf borderId="0" fillId="4" fontId="8" numFmtId="0" xfId="0" applyAlignment="1" applyFont="1">
      <alignment readingOrder="0" shrinkToFit="0" vertical="bottom" wrapText="1"/>
    </xf>
    <xf borderId="0" fillId="9" fontId="8" numFmtId="0" xfId="0" applyAlignment="1" applyFont="1">
      <alignment readingOrder="0" shrinkToFit="0" vertical="bottom" wrapText="1"/>
    </xf>
    <xf borderId="0" fillId="0" fontId="8" numFmtId="0" xfId="0" applyAlignment="1" applyFont="1">
      <alignment readingOrder="0" shrinkToFit="0" vertical="top" wrapText="1"/>
    </xf>
    <xf borderId="0" fillId="4" fontId="8" numFmtId="0" xfId="0" applyAlignment="1" applyFont="1">
      <alignment readingOrder="0" shrinkToFit="0" wrapText="1"/>
    </xf>
    <xf borderId="0" fillId="9" fontId="8" numFmtId="0" xfId="0" applyAlignment="1" applyFont="1">
      <alignment readingOrder="0" shrinkToFit="0" wrapText="1"/>
    </xf>
    <xf borderId="0" fillId="0" fontId="4" numFmtId="0" xfId="0" applyFont="1"/>
    <xf borderId="0" fillId="0" fontId="5" numFmtId="3" xfId="0" applyAlignment="1" applyFont="1" applyNumberForma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IaC_issues_across_platforms-style">
      <tableStyleElement dxfId="1" type="headerRow"/>
      <tableStyleElement dxfId="2" type="firstRowStripe"/>
      <tableStyleElement dxfId="3" type="secondRowStripe"/>
      <tableStyleElement dxfId="4" size="0" type="wholeTable"/>
    </tableStyle>
    <tableStyle count="4" pivot="0" name="IaC_issues_across_layers-style">
      <tableStyleElement dxfId="1" type="headerRow"/>
      <tableStyleElement dxfId="2" type="firstRowStripe"/>
      <tableStyleElement dxfId="3" type="secondRowStripe"/>
      <tableStyleElement dxfId="4" size="0" type="wholeTable"/>
    </tableStyle>
    <tableStyle count="4" pivot="0" name="Techniques_over_year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Technology dependency</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Visualizations2!$A$1:$A$3</c:f>
            </c:strRef>
          </c:cat>
          <c:val>
            <c:numRef>
              <c:f>Visualizations2!$B$1:$B$3</c:f>
              <c:numCache/>
            </c:numRef>
          </c:val>
        </c:ser>
        <c:axId val="220887236"/>
        <c:axId val="1053094730"/>
      </c:barChart>
      <c:catAx>
        <c:axId val="2208872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53094730"/>
      </c:catAx>
      <c:valAx>
        <c:axId val="10530947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2088723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Studied IaC platforms</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Visualizations2!$A$6:$A$17</c:f>
            </c:strRef>
          </c:cat>
          <c:val>
            <c:numRef>
              <c:f>Visualizations2!$B$6:$B$17</c:f>
              <c:numCache/>
            </c:numRef>
          </c:val>
        </c:ser>
        <c:axId val="748238103"/>
        <c:axId val="1802483106"/>
      </c:barChart>
      <c:catAx>
        <c:axId val="7482381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02483106"/>
      </c:catAx>
      <c:valAx>
        <c:axId val="18024831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48238103"/>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Developement phase</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Visualizations2!$A$20:$A$22</c:f>
            </c:strRef>
          </c:cat>
          <c:val>
            <c:numRef>
              <c:f>Visualizations2!$B$20:$B$22</c:f>
              <c:numCache/>
            </c:numRef>
          </c:val>
        </c:ser>
        <c:axId val="1211254776"/>
        <c:axId val="195667961"/>
      </c:barChart>
      <c:catAx>
        <c:axId val="12112547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5667961"/>
      </c:catAx>
      <c:valAx>
        <c:axId val="1956679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11254776"/>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Graurality</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Visualizations2!$A$24:$A$27</c:f>
            </c:strRef>
          </c:cat>
          <c:val>
            <c:numRef>
              <c:f>Visualizations2!$B$24:$B$27</c:f>
              <c:numCache/>
            </c:numRef>
          </c:val>
        </c:ser>
        <c:axId val="587869771"/>
        <c:axId val="1269440520"/>
      </c:barChart>
      <c:catAx>
        <c:axId val="5878697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69440520"/>
      </c:catAx>
      <c:valAx>
        <c:axId val="12694405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87869771"/>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IaC layer</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Visualizations2!$A$30:$A$34</c:f>
            </c:strRef>
          </c:cat>
          <c:val>
            <c:numRef>
              <c:f>Visualizations2!$B$30:$B$34</c:f>
              <c:numCache/>
            </c:numRef>
          </c:val>
        </c:ser>
        <c:axId val="724428996"/>
        <c:axId val="544813746"/>
      </c:barChart>
      <c:catAx>
        <c:axId val="7244289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44813746"/>
      </c:catAx>
      <c:valAx>
        <c:axId val="5448137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24428996"/>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285F4"/>
              </a:solidFill>
            </c:spPr>
          </c:dPt>
          <c:dPt>
            <c:idx val="1"/>
            <c:spPr>
              <a:solidFill>
                <a:srgbClr val="EA4335"/>
              </a:solidFill>
            </c:spPr>
          </c:dPt>
          <c:dLbls>
            <c:showLegendKey val="0"/>
            <c:showVal val="0"/>
            <c:showCatName val="0"/>
            <c:showSerName val="0"/>
            <c:showPercent val="0"/>
            <c:showBubbleSize val="0"/>
            <c:showLeaderLines val="1"/>
          </c:dLbls>
          <c:cat>
            <c:strRef>
              <c:f>Visualizations2!$A$38:$A$39</c:f>
            </c:strRef>
          </c:cat>
          <c:val>
            <c:numRef>
              <c:f>Visualizations2!$B$38:$B$39</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Lifecyle</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Visualizations2!$G$39:$G$42</c:f>
            </c:strRef>
          </c:cat>
          <c:val>
            <c:numRef>
              <c:f>Visualizations2!$H$39:$H$42</c:f>
              <c:numCache/>
            </c:numRef>
          </c:val>
        </c:ser>
        <c:axId val="1665449389"/>
        <c:axId val="2105643839"/>
      </c:barChart>
      <c:catAx>
        <c:axId val="16654493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105643839"/>
      </c:catAx>
      <c:valAx>
        <c:axId val="21056438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65449389"/>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Quality issues</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Visualizations2!$N$14:$N$22</c:f>
            </c:strRef>
          </c:cat>
          <c:val>
            <c:numRef>
              <c:f>Visualizations2!$O$14:$O$22</c:f>
              <c:numCache/>
            </c:numRef>
          </c:val>
        </c:ser>
        <c:axId val="525991235"/>
        <c:axId val="233403371"/>
      </c:barChart>
      <c:catAx>
        <c:axId val="5259912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33403371"/>
      </c:catAx>
      <c:valAx>
        <c:axId val="2334033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25991235"/>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Support approaches</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Visualizations2!$J$26:$J$32</c:f>
            </c:strRef>
          </c:cat>
          <c:val>
            <c:numRef>
              <c:f>Visualizations2!$K$26:$K$32</c:f>
              <c:numCache/>
            </c:numRef>
          </c:val>
        </c:ser>
        <c:axId val="912492996"/>
        <c:axId val="1442435479"/>
      </c:barChart>
      <c:catAx>
        <c:axId val="9124929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42435479"/>
      </c:catAx>
      <c:valAx>
        <c:axId val="14424354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12492996"/>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Tool based</a:t>
            </a:r>
          </a:p>
        </c:rich>
      </c:tx>
      <c:overlay val="0"/>
    </c:title>
    <c:plotArea>
      <c:layout/>
      <c:barChart>
        <c:barDir val="col"/>
        <c:ser>
          <c:idx val="0"/>
          <c:order val="0"/>
          <c:spPr>
            <a:solidFill>
              <a:schemeClr val="accent1"/>
            </a:solidFill>
            <a:ln cmpd="sng">
              <a:solidFill>
                <a:srgbClr val="000000"/>
              </a:solidFill>
            </a:ln>
          </c:spPr>
          <c:cat>
            <c:strRef>
              <c:f>Visualizations2!$A$38:$A$39</c:f>
            </c:strRef>
          </c:cat>
          <c:val>
            <c:numRef>
              <c:f>Visualizations2!$B$38:$B$39</c:f>
              <c:numCache/>
            </c:numRef>
          </c:val>
        </c:ser>
        <c:axId val="1354548763"/>
        <c:axId val="641003016"/>
      </c:barChart>
      <c:catAx>
        <c:axId val="13545487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41003016"/>
      </c:catAx>
      <c:valAx>
        <c:axId val="6410030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54548763"/>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Maturity</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Visualizations2!$N$26:$N$29</c:f>
            </c:strRef>
          </c:cat>
          <c:val>
            <c:numRef>
              <c:f>Visualizations2!$O$26:$O$29</c:f>
              <c:numCache/>
            </c:numRef>
          </c:val>
        </c:ser>
        <c:axId val="1438191358"/>
        <c:axId val="892648474"/>
      </c:barChart>
      <c:catAx>
        <c:axId val="14381913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92648474"/>
      </c:catAx>
      <c:valAx>
        <c:axId val="8926484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38191358"/>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Links</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Visualizations2!$N$32:$N$37</c:f>
            </c:strRef>
          </c:cat>
          <c:val>
            <c:numRef>
              <c:f>Visualizations2!$O$32:$O$37</c:f>
              <c:numCache/>
            </c:numRef>
          </c:val>
        </c:ser>
        <c:axId val="45351520"/>
        <c:axId val="1770301373"/>
      </c:barChart>
      <c:catAx>
        <c:axId val="453515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70301373"/>
      </c:catAx>
      <c:valAx>
        <c:axId val="17703013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5351520"/>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Lbls>
            <c:showLegendKey val="0"/>
            <c:showVal val="0"/>
            <c:showCatName val="0"/>
            <c:showSerName val="0"/>
            <c:showPercent val="0"/>
            <c:showBubbleSize val="0"/>
            <c:showLeaderLines val="1"/>
          </c:dLbls>
          <c:cat>
            <c:strRef>
              <c:f>Visualizations2!$N$32:$N$37</c:f>
            </c:strRef>
          </c:cat>
          <c:val>
            <c:numRef>
              <c:f>Visualizations2!$O$32:$O$37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Visualizations2!$Q$32:$Q$36</c:f>
            </c:strRef>
          </c:cat>
          <c:val>
            <c:numRef>
              <c:f>Visualizations2!$R$32:$R$36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7428580729166659"/>
          <c:y val="0.06617250673854451"/>
          <c:w val="0.706309108149563"/>
          <c:h val="0.7869272237196765"/>
        </c:manualLayout>
      </c:layout>
      <c:barChart>
        <c:barDir val="col"/>
        <c:ser>
          <c:idx val="0"/>
          <c:order val="0"/>
          <c:tx>
            <c:strRef>
              <c:f>IaC_issues_across_platforms!$B$1</c:f>
            </c:strRef>
          </c:tx>
          <c:spPr>
            <a:solidFill>
              <a:schemeClr val="accent1"/>
            </a:solidFill>
            <a:ln cmpd="sng">
              <a:solidFill>
                <a:srgbClr val="000000"/>
              </a:solidFill>
            </a:ln>
          </c:spPr>
          <c:cat>
            <c:strRef>
              <c:f>IaC_issues_across_platforms!$A$2:$A$13</c:f>
            </c:strRef>
          </c:cat>
          <c:val>
            <c:numRef>
              <c:f>IaC_issues_across_platforms!$B$2:$B$13</c:f>
              <c:numCache/>
            </c:numRef>
          </c:val>
        </c:ser>
        <c:ser>
          <c:idx val="1"/>
          <c:order val="1"/>
          <c:tx>
            <c:strRef>
              <c:f>IaC_issues_across_platforms!$C$1</c:f>
            </c:strRef>
          </c:tx>
          <c:spPr>
            <a:solidFill>
              <a:schemeClr val="accent2"/>
            </a:solidFill>
            <a:ln cmpd="sng">
              <a:solidFill>
                <a:srgbClr val="000000"/>
              </a:solidFill>
            </a:ln>
          </c:spPr>
          <c:cat>
            <c:strRef>
              <c:f>IaC_issues_across_platforms!$A$2:$A$13</c:f>
            </c:strRef>
          </c:cat>
          <c:val>
            <c:numRef>
              <c:f>IaC_issues_across_platforms!$C$2:$C$13</c:f>
              <c:numCache/>
            </c:numRef>
          </c:val>
        </c:ser>
        <c:ser>
          <c:idx val="2"/>
          <c:order val="2"/>
          <c:tx>
            <c:strRef>
              <c:f>IaC_issues_across_platforms!$D$1</c:f>
            </c:strRef>
          </c:tx>
          <c:spPr>
            <a:solidFill>
              <a:schemeClr val="accent3"/>
            </a:solidFill>
            <a:ln cmpd="sng">
              <a:solidFill>
                <a:srgbClr val="000000"/>
              </a:solidFill>
            </a:ln>
          </c:spPr>
          <c:cat>
            <c:strRef>
              <c:f>IaC_issues_across_platforms!$A$2:$A$13</c:f>
            </c:strRef>
          </c:cat>
          <c:val>
            <c:numRef>
              <c:f>IaC_issues_across_platforms!$D$2:$D$13</c:f>
              <c:numCache/>
            </c:numRef>
          </c:val>
        </c:ser>
        <c:ser>
          <c:idx val="3"/>
          <c:order val="3"/>
          <c:tx>
            <c:strRef>
              <c:f>IaC_issues_across_platforms!$E$1</c:f>
            </c:strRef>
          </c:tx>
          <c:spPr>
            <a:solidFill>
              <a:schemeClr val="accent4"/>
            </a:solidFill>
            <a:ln cmpd="sng">
              <a:solidFill>
                <a:srgbClr val="000000"/>
              </a:solidFill>
            </a:ln>
          </c:spPr>
          <c:cat>
            <c:strRef>
              <c:f>IaC_issues_across_platforms!$A$2:$A$13</c:f>
            </c:strRef>
          </c:cat>
          <c:val>
            <c:numRef>
              <c:f>IaC_issues_across_platforms!$E$2:$E$13</c:f>
              <c:numCache/>
            </c:numRef>
          </c:val>
        </c:ser>
        <c:ser>
          <c:idx val="4"/>
          <c:order val="4"/>
          <c:tx>
            <c:strRef>
              <c:f>IaC_issues_across_platforms!$F$1</c:f>
            </c:strRef>
          </c:tx>
          <c:spPr>
            <a:solidFill>
              <a:schemeClr val="accent5"/>
            </a:solidFill>
            <a:ln cmpd="sng">
              <a:solidFill>
                <a:srgbClr val="000000"/>
              </a:solidFill>
            </a:ln>
          </c:spPr>
          <c:cat>
            <c:strRef>
              <c:f>IaC_issues_across_platforms!$A$2:$A$13</c:f>
            </c:strRef>
          </c:cat>
          <c:val>
            <c:numRef>
              <c:f>IaC_issues_across_platforms!$F$2:$F$13</c:f>
              <c:numCache/>
            </c:numRef>
          </c:val>
        </c:ser>
        <c:ser>
          <c:idx val="5"/>
          <c:order val="5"/>
          <c:tx>
            <c:strRef>
              <c:f>IaC_issues_across_platforms!$G$1</c:f>
            </c:strRef>
          </c:tx>
          <c:spPr>
            <a:solidFill>
              <a:schemeClr val="accent6"/>
            </a:solidFill>
            <a:ln cmpd="sng">
              <a:solidFill>
                <a:srgbClr val="000000"/>
              </a:solidFill>
            </a:ln>
          </c:spPr>
          <c:cat>
            <c:strRef>
              <c:f>IaC_issues_across_platforms!$A$2:$A$13</c:f>
            </c:strRef>
          </c:cat>
          <c:val>
            <c:numRef>
              <c:f>IaC_issues_across_platforms!$G$2:$G$13</c:f>
              <c:numCache/>
            </c:numRef>
          </c:val>
        </c:ser>
        <c:ser>
          <c:idx val="6"/>
          <c:order val="6"/>
          <c:tx>
            <c:strRef>
              <c:f>IaC_issues_across_platforms!$H$1</c:f>
            </c:strRef>
          </c:tx>
          <c:spPr>
            <a:solidFill>
              <a:schemeClr val="accent1">
                <a:lumOff val="30000"/>
              </a:schemeClr>
            </a:solidFill>
            <a:ln cmpd="sng">
              <a:solidFill>
                <a:srgbClr val="000000"/>
              </a:solidFill>
            </a:ln>
          </c:spPr>
          <c:cat>
            <c:strRef>
              <c:f>IaC_issues_across_platforms!$A$2:$A$13</c:f>
            </c:strRef>
          </c:cat>
          <c:val>
            <c:numRef>
              <c:f>IaC_issues_across_platforms!$H$2:$H$13</c:f>
              <c:numCache/>
            </c:numRef>
          </c:val>
        </c:ser>
        <c:ser>
          <c:idx val="7"/>
          <c:order val="7"/>
          <c:tx>
            <c:strRef>
              <c:f>IaC_issues_across_platforms!$I$1</c:f>
            </c:strRef>
          </c:tx>
          <c:spPr>
            <a:solidFill>
              <a:schemeClr val="accent2">
                <a:lumOff val="30000"/>
              </a:schemeClr>
            </a:solidFill>
            <a:ln cmpd="sng">
              <a:solidFill>
                <a:srgbClr val="000000"/>
              </a:solidFill>
            </a:ln>
          </c:spPr>
          <c:cat>
            <c:strRef>
              <c:f>IaC_issues_across_platforms!$A$2:$A$13</c:f>
            </c:strRef>
          </c:cat>
          <c:val>
            <c:numRef>
              <c:f>IaC_issues_across_platforms!$I$2:$I$13</c:f>
              <c:numCache/>
            </c:numRef>
          </c:val>
        </c:ser>
        <c:ser>
          <c:idx val="8"/>
          <c:order val="8"/>
          <c:tx>
            <c:strRef>
              <c:f>IaC_issues_across_platforms!$J$1</c:f>
            </c:strRef>
          </c:tx>
          <c:spPr>
            <a:solidFill>
              <a:schemeClr val="accent3">
                <a:lumOff val="30000"/>
              </a:schemeClr>
            </a:solidFill>
            <a:ln cmpd="sng">
              <a:solidFill>
                <a:srgbClr val="000000"/>
              </a:solidFill>
            </a:ln>
          </c:spPr>
          <c:cat>
            <c:strRef>
              <c:f>IaC_issues_across_platforms!$A$2:$A$13</c:f>
            </c:strRef>
          </c:cat>
          <c:val>
            <c:numRef>
              <c:f>IaC_issues_across_platforms!$J$2:$J$13</c:f>
              <c:numCache/>
            </c:numRef>
          </c:val>
        </c:ser>
        <c:axId val="281022593"/>
        <c:axId val="1769306108"/>
      </c:barChart>
      <c:catAx>
        <c:axId val="2810225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69306108"/>
      </c:catAx>
      <c:valAx>
        <c:axId val="17693061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81022593"/>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1 - Rule-Based and Pattern-Matching Approaches, 2 - Graph-Based Analyses, 3 - Formal Methods, 4 - Statistical and Learning-Based Methods et 5 - Testing Methods</a:t>
            </a:r>
          </a:p>
        </c:rich>
      </c:tx>
      <c:overlay val="0"/>
    </c:title>
    <c:plotArea>
      <c:layout/>
      <c:barChart>
        <c:barDir val="col"/>
        <c:grouping val="stacked"/>
        <c:ser>
          <c:idx val="0"/>
          <c:order val="0"/>
          <c:tx>
            <c:strRef>
              <c:f>Techniques_over_years!$B$1</c:f>
            </c:strRef>
          </c:tx>
          <c:spPr>
            <a:solidFill>
              <a:schemeClr val="accent1"/>
            </a:solidFill>
            <a:ln cmpd="sng">
              <a:solidFill>
                <a:srgbClr val="000000"/>
              </a:solidFill>
            </a:ln>
          </c:spPr>
          <c:cat>
            <c:strRef>
              <c:f>Techniques_over_years!$A$2:$A$12</c:f>
            </c:strRef>
          </c:cat>
          <c:val>
            <c:numRef>
              <c:f>Techniques_over_years!$B$2:$B$12</c:f>
              <c:numCache/>
            </c:numRef>
          </c:val>
        </c:ser>
        <c:ser>
          <c:idx val="1"/>
          <c:order val="1"/>
          <c:tx>
            <c:strRef>
              <c:f>Techniques_over_years!$C$1</c:f>
            </c:strRef>
          </c:tx>
          <c:spPr>
            <a:solidFill>
              <a:schemeClr val="accent2"/>
            </a:solidFill>
            <a:ln cmpd="sng">
              <a:solidFill>
                <a:srgbClr val="000000"/>
              </a:solidFill>
            </a:ln>
          </c:spPr>
          <c:cat>
            <c:strRef>
              <c:f>Techniques_over_years!$A$2:$A$12</c:f>
            </c:strRef>
          </c:cat>
          <c:val>
            <c:numRef>
              <c:f>Techniques_over_years!$C$2:$C$12</c:f>
              <c:numCache/>
            </c:numRef>
          </c:val>
        </c:ser>
        <c:ser>
          <c:idx val="2"/>
          <c:order val="2"/>
          <c:tx>
            <c:strRef>
              <c:f>Techniques_over_years!$D$1</c:f>
            </c:strRef>
          </c:tx>
          <c:spPr>
            <a:solidFill>
              <a:schemeClr val="accent3"/>
            </a:solidFill>
            <a:ln cmpd="sng">
              <a:solidFill>
                <a:srgbClr val="000000"/>
              </a:solidFill>
            </a:ln>
          </c:spPr>
          <c:cat>
            <c:strRef>
              <c:f>Techniques_over_years!$A$2:$A$12</c:f>
            </c:strRef>
          </c:cat>
          <c:val>
            <c:numRef>
              <c:f>Techniques_over_years!$D$2:$D$12</c:f>
              <c:numCache/>
            </c:numRef>
          </c:val>
        </c:ser>
        <c:ser>
          <c:idx val="3"/>
          <c:order val="3"/>
          <c:tx>
            <c:strRef>
              <c:f>Techniques_over_years!$E$1</c:f>
            </c:strRef>
          </c:tx>
          <c:spPr>
            <a:solidFill>
              <a:schemeClr val="accent4"/>
            </a:solidFill>
            <a:ln cmpd="sng">
              <a:solidFill>
                <a:srgbClr val="000000"/>
              </a:solidFill>
            </a:ln>
          </c:spPr>
          <c:cat>
            <c:strRef>
              <c:f>Techniques_over_years!$A$2:$A$12</c:f>
            </c:strRef>
          </c:cat>
          <c:val>
            <c:numRef>
              <c:f>Techniques_over_years!$E$2:$E$12</c:f>
              <c:numCache/>
            </c:numRef>
          </c:val>
        </c:ser>
        <c:ser>
          <c:idx val="4"/>
          <c:order val="4"/>
          <c:tx>
            <c:strRef>
              <c:f>Techniques_over_years!$F$1</c:f>
            </c:strRef>
          </c:tx>
          <c:spPr>
            <a:solidFill>
              <a:schemeClr val="accent5"/>
            </a:solidFill>
            <a:ln cmpd="sng">
              <a:solidFill>
                <a:srgbClr val="000000"/>
              </a:solidFill>
            </a:ln>
          </c:spPr>
          <c:cat>
            <c:strRef>
              <c:f>Techniques_over_years!$A$2:$A$12</c:f>
            </c:strRef>
          </c:cat>
          <c:val>
            <c:numRef>
              <c:f>Techniques_over_years!$F$2:$F$12</c:f>
              <c:numCache/>
            </c:numRef>
          </c:val>
        </c:ser>
        <c:overlap val="100"/>
        <c:axId val="381861027"/>
        <c:axId val="481644678"/>
      </c:barChart>
      <c:catAx>
        <c:axId val="3818610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481644678"/>
      </c:catAx>
      <c:valAx>
        <c:axId val="4816446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81861027"/>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1" Type="http://schemas.openxmlformats.org/officeDocument/2006/relationships/chart" Target="../charts/chart11.xml"/><Relationship Id="rId10" Type="http://schemas.openxmlformats.org/officeDocument/2006/relationships/chart" Target="../charts/chart10.xml"/><Relationship Id="rId13" Type="http://schemas.openxmlformats.org/officeDocument/2006/relationships/chart" Target="../charts/chart13.xml"/><Relationship Id="rId12" Type="http://schemas.openxmlformats.org/officeDocument/2006/relationships/chart" Target="../charts/chart12.xml"/><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43</xdr:row>
      <xdr:rowOff>57150</xdr:rowOff>
    </xdr:from>
    <xdr:ext cx="4133850" cy="2552700"/>
    <xdr:graphicFrame>
      <xdr:nvGraphicFramePr>
        <xdr:cNvPr id="1" name="Chart 1" title="Graphique"/>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104775</xdr:colOff>
      <xdr:row>42</xdr:row>
      <xdr:rowOff>161925</xdr:rowOff>
    </xdr:from>
    <xdr:ext cx="4991100" cy="3086100"/>
    <xdr:graphicFrame>
      <xdr:nvGraphicFramePr>
        <xdr:cNvPr id="2" name="Chart 2" title="Graphique"/>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56</xdr:row>
      <xdr:rowOff>161925</xdr:rowOff>
    </xdr:from>
    <xdr:ext cx="4133850" cy="2552700"/>
    <xdr:graphicFrame>
      <xdr:nvGraphicFramePr>
        <xdr:cNvPr id="3" name="Chart 3" title="Graphique"/>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72</xdr:row>
      <xdr:rowOff>85725</xdr:rowOff>
    </xdr:from>
    <xdr:ext cx="4181475" cy="2552700"/>
    <xdr:graphicFrame>
      <xdr:nvGraphicFramePr>
        <xdr:cNvPr id="4" name="Chart 4" title="Graphique"/>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4</xdr:col>
      <xdr:colOff>438150</xdr:colOff>
      <xdr:row>59</xdr:row>
      <xdr:rowOff>123825</xdr:rowOff>
    </xdr:from>
    <xdr:ext cx="4086225" cy="2552700"/>
    <xdr:graphicFrame>
      <xdr:nvGraphicFramePr>
        <xdr:cNvPr id="5" name="Chart 5" title="Graphique"/>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9</xdr:col>
      <xdr:colOff>142875</xdr:colOff>
      <xdr:row>57</xdr:row>
      <xdr:rowOff>152400</xdr:rowOff>
    </xdr:from>
    <xdr:ext cx="3790950" cy="2362200"/>
    <xdr:graphicFrame>
      <xdr:nvGraphicFramePr>
        <xdr:cNvPr id="6" name="Chart 6" title="Graphique"/>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9</xdr:col>
      <xdr:colOff>142875</xdr:colOff>
      <xdr:row>42</xdr:row>
      <xdr:rowOff>161925</xdr:rowOff>
    </xdr:from>
    <xdr:ext cx="4181475" cy="2552700"/>
    <xdr:graphicFrame>
      <xdr:nvGraphicFramePr>
        <xdr:cNvPr id="7" name="Chart 7" title="Graphique"/>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8</xdr:col>
      <xdr:colOff>838200</xdr:colOff>
      <xdr:row>71</xdr:row>
      <xdr:rowOff>152400</xdr:rowOff>
    </xdr:from>
    <xdr:ext cx="4953000" cy="3086100"/>
    <xdr:graphicFrame>
      <xdr:nvGraphicFramePr>
        <xdr:cNvPr id="8" name="Chart 8" title="Graphique"/>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4</xdr:col>
      <xdr:colOff>276225</xdr:colOff>
      <xdr:row>76</xdr:row>
      <xdr:rowOff>190500</xdr:rowOff>
    </xdr:from>
    <xdr:ext cx="4505325" cy="2790825"/>
    <xdr:graphicFrame>
      <xdr:nvGraphicFramePr>
        <xdr:cNvPr id="9" name="Chart 9" title="Graphique"/>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11</xdr:col>
      <xdr:colOff>819150</xdr:colOff>
      <xdr:row>57</xdr:row>
      <xdr:rowOff>171450</xdr:rowOff>
    </xdr:from>
    <xdr:ext cx="3705225" cy="2314575"/>
    <xdr:graphicFrame>
      <xdr:nvGraphicFramePr>
        <xdr:cNvPr id="10" name="Chart 10" title="Graphique"/>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12</xdr:col>
      <xdr:colOff>447675</xdr:colOff>
      <xdr:row>43</xdr:row>
      <xdr:rowOff>9525</xdr:rowOff>
    </xdr:from>
    <xdr:ext cx="3962400" cy="2457450"/>
    <xdr:graphicFrame>
      <xdr:nvGraphicFramePr>
        <xdr:cNvPr id="11" name="Chart 11" title="Graphique"/>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12</xdr:col>
      <xdr:colOff>647700</xdr:colOff>
      <xdr:row>71</xdr:row>
      <xdr:rowOff>190500</xdr:rowOff>
    </xdr:from>
    <xdr:ext cx="4953000" cy="3086100"/>
    <xdr:graphicFrame>
      <xdr:nvGraphicFramePr>
        <xdr:cNvPr id="12" name="Chart 12" title="Graphique"/>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18</xdr:col>
      <xdr:colOff>590550</xdr:colOff>
      <xdr:row>72</xdr:row>
      <xdr:rowOff>85725</xdr:rowOff>
    </xdr:from>
    <xdr:ext cx="4295775" cy="2676525"/>
    <xdr:graphicFrame>
      <xdr:nvGraphicFramePr>
        <xdr:cNvPr id="13" name="Chart 13" title="Graphique"/>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18</xdr:col>
      <xdr:colOff>371475</xdr:colOff>
      <xdr:row>30</xdr:row>
      <xdr:rowOff>123825</xdr:rowOff>
    </xdr:from>
    <xdr:ext cx="4181475" cy="2552700"/>
    <xdr:graphicFrame>
      <xdr:nvGraphicFramePr>
        <xdr:cNvPr id="14" name="Chart 14" title="Graphique"/>
        <xdr:cNvGraphicFramePr/>
      </xdr:nvGraphicFramePr>
      <xdr:xfrm>
        <a:off x="0" y="0"/>
        <a:ext cx="0" cy="0"/>
      </xdr:xfrm>
      <a:graphic>
        <a:graphicData uri="http://schemas.openxmlformats.org/drawingml/2006/chart">
          <c:chart r:id="rId14"/>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247650</xdr:colOff>
      <xdr:row>28</xdr:row>
      <xdr:rowOff>104775</xdr:rowOff>
    </xdr:from>
    <xdr:ext cx="10791825" cy="6648450"/>
    <xdr:graphicFrame>
      <xdr:nvGraphicFramePr>
        <xdr:cNvPr id="15" name="Chart 15" title="Graphique"/>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1209675</xdr:colOff>
      <xdr:row>34</xdr:row>
      <xdr:rowOff>28575</xdr:rowOff>
    </xdr:from>
    <xdr:ext cx="6524625" cy="4038600"/>
    <xdr:graphicFrame>
      <xdr:nvGraphicFramePr>
        <xdr:cNvPr id="16" name="Chart 16" title="Graphique"/>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13" displayName="Table1" name="Table1" id="1">
  <tableColumns count="10">
    <tableColumn name="Column 1" id="1"/>
    <tableColumn name="1- Structural Quality" id="2"/>
    <tableColumn name="2- Syntactic &amp; Linguistic Quality" id="3"/>
    <tableColumn name="3- Security" id="4"/>
    <tableColumn name="4- Operational Quality" id="5"/>
    <tableColumn name="5- Performance &amp; Resource management" id="6"/>
    <tableColumn name="6- Maintability &amp; Documentation" id="7"/>
    <tableColumn name="7- Data &amp; Variable management" id="8"/>
    <tableColumn name="8- Control Flow &amp; Logic" id="9"/>
    <tableColumn name="9- Domain Specific Issues" id="10"/>
  </tableColumns>
  <tableStyleInfo name="IaC_issues_across_platforms-style" showColumnStripes="0" showFirstColumn="1" showLastColumn="1" showRowStripes="1"/>
</table>
</file>

<file path=xl/tables/table2.xml><?xml version="1.0" encoding="utf-8"?>
<table xmlns="http://schemas.openxmlformats.org/spreadsheetml/2006/main" ref="A1:J5" displayName="Table2" name="Table2" id="2">
  <tableColumns count="10">
    <tableColumn name="IaC Layer" id="1"/>
    <tableColumn name="1- Structural Quality" id="2"/>
    <tableColumn name="2- Syntactic &amp; Linguistic Quality" id="3"/>
    <tableColumn name="3- Security" id="4"/>
    <tableColumn name="4- Operational Quality" id="5"/>
    <tableColumn name="5- Performance &amp; Resource management" id="6"/>
    <tableColumn name="6- Maintability &amp; Documentation" id="7"/>
    <tableColumn name="7- Data &amp; Variable management" id="8"/>
    <tableColumn name="8- Control Flow &amp; Logic" id="9"/>
    <tableColumn name="9- Domain Specific Issues" id="10"/>
  </tableColumns>
  <tableStyleInfo name="IaC_issues_across_layers-style" showColumnStripes="0" showFirstColumn="1" showLastColumn="1" showRowStripes="1"/>
</table>
</file>

<file path=xl/tables/table3.xml><?xml version="1.0" encoding="utf-8"?>
<table xmlns="http://schemas.openxmlformats.org/spreadsheetml/2006/main" ref="A1:G12" displayName="Table3" name="Table3" id="3">
  <tableColumns count="7">
    <tableColumn name="Year" id="1"/>
    <tableColumn name="1 - Rule-Based and Pattern-Matching Approaches" id="2"/>
    <tableColumn name="2 - Graph-Based Analyses" id="3"/>
    <tableColumn name="3 - Formal Methods" id="4"/>
    <tableColumn name="4 - Statistical and Learning-Based Methods" id="5"/>
    <tableColumn name="5 - Testing Methods" id="6"/>
    <tableColumn name="6 - Other" id="7"/>
  </tableColumns>
  <tableStyleInfo name="Techniques_over_year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rxiv.org/abs/2402.15632" TargetMode="External"/><Relationship Id="rId42" Type="http://schemas.openxmlformats.org/officeDocument/2006/relationships/hyperlink" Target="https://ieeexplore.ieee.org/document/10592468" TargetMode="External"/><Relationship Id="rId41" Type="http://schemas.openxmlformats.org/officeDocument/2006/relationships/hyperlink" Target="https://zenodo.org/records/10173400" TargetMode="External"/><Relationship Id="rId44" Type="http://schemas.openxmlformats.org/officeDocument/2006/relationships/hyperlink" Target="https://ieeexplore.ieee.org/document/10479426" TargetMode="External"/><Relationship Id="rId43" Type="http://schemas.openxmlformats.org/officeDocument/2006/relationships/hyperlink" Target="https://github.com/kamieniarzk/kube-security-scanner" TargetMode="External"/><Relationship Id="rId46" Type="http://schemas.openxmlformats.org/officeDocument/2006/relationships/hyperlink" Target="https://akondrahman.github.io/files/papers/emse2024-tidal.pdf" TargetMode="External"/><Relationship Id="rId45" Type="http://schemas.openxmlformats.org/officeDocument/2006/relationships/hyperlink" Target="https://github.com/nabhan-au/Testing-IaC-Research/tree/main" TargetMode="External"/><Relationship Id="rId107" Type="http://schemas.openxmlformats.org/officeDocument/2006/relationships/hyperlink" Target="https://zenodo.org/records/8119368" TargetMode="External"/><Relationship Id="rId106" Type="http://schemas.openxmlformats.org/officeDocument/2006/relationships/hyperlink" Target="https://ieeexplore.ieee.org/document/10356403" TargetMode="External"/><Relationship Id="rId105" Type="http://schemas.openxmlformats.org/officeDocument/2006/relationships/hyperlink" Target="https://zenodo.org/records/10439571" TargetMode="External"/><Relationship Id="rId104" Type="http://schemas.openxmlformats.org/officeDocument/2006/relationships/hyperlink" Target="https://dl.acm.org/doi/10.1145/3597503.3639143" TargetMode="External"/><Relationship Id="rId109" Type="http://schemas.openxmlformats.org/officeDocument/2006/relationships/hyperlink" Target="https://zenodo.org/records/7692017" TargetMode="External"/><Relationship Id="rId108" Type="http://schemas.openxmlformats.org/officeDocument/2006/relationships/hyperlink" Target="https://ieeexplore.ieee.org/document/10254973" TargetMode="External"/><Relationship Id="rId48" Type="http://schemas.openxmlformats.org/officeDocument/2006/relationships/hyperlink" Target="https://dl.acm.org/doi/10.1145/3694715.3695974" TargetMode="External"/><Relationship Id="rId47" Type="http://schemas.openxmlformats.org/officeDocument/2006/relationships/hyperlink" Target="https://figshare.com/s/c9d7b8aa973f53f02234?file=42146865" TargetMode="External"/><Relationship Id="rId49" Type="http://schemas.openxmlformats.org/officeDocument/2006/relationships/hyperlink" Target="https://github.com/824728350/Zodiac" TargetMode="External"/><Relationship Id="rId103" Type="http://schemas.openxmlformats.org/officeDocument/2006/relationships/hyperlink" Target="https://github.com/evanderbent/PuppetSurveyData" TargetMode="External"/><Relationship Id="rId102" Type="http://schemas.openxmlformats.org/officeDocument/2006/relationships/hyperlink" Target="https://ieeexplore.ieee.org/document/8330206" TargetMode="External"/><Relationship Id="rId101" Type="http://schemas.openxmlformats.org/officeDocument/2006/relationships/hyperlink" Target="https://github.com/ElsevierSoftwareX/SOFTX_2020_231" TargetMode="External"/><Relationship Id="rId100" Type="http://schemas.openxmlformats.org/officeDocument/2006/relationships/hyperlink" Target="https://www.sciencedirect.com/science/article/pii/S2352711020303460" TargetMode="External"/><Relationship Id="rId31" Type="http://schemas.openxmlformats.org/officeDocument/2006/relationships/hyperlink" Target="https://ieeexplore.ieee.org/document/10734039" TargetMode="External"/><Relationship Id="rId30" Type="http://schemas.openxmlformats.org/officeDocument/2006/relationships/hyperlink" Target="https://github.com/stilab-ets/terametrics" TargetMode="External"/><Relationship Id="rId33" Type="http://schemas.openxmlformats.org/officeDocument/2006/relationships/hyperlink" Target="https://github.com/xlab-si/iac-scan-runner" TargetMode="External"/><Relationship Id="rId32" Type="http://schemas.openxmlformats.org/officeDocument/2006/relationships/hyperlink" Target="https://dl.acm.org/doi/10.1145/3578245.3584943" TargetMode="External"/><Relationship Id="rId35" Type="http://schemas.openxmlformats.org/officeDocument/2006/relationships/hyperlink" Target="https://zenodo.org/records/15198041" TargetMode="External"/><Relationship Id="rId34" Type="http://schemas.openxmlformats.org/officeDocument/2006/relationships/hyperlink" Target="https://dl.acm.org/doi/10.1145/3713081.3731735" TargetMode="External"/><Relationship Id="rId37" Type="http://schemas.openxmlformats.org/officeDocument/2006/relationships/hyperlink" Target="https://zenodo.org/records/11319775" TargetMode="External"/><Relationship Id="rId36" Type="http://schemas.openxmlformats.org/officeDocument/2006/relationships/hyperlink" Target="https://papers.ssrn.com/sol3/papers.cfm?abstract_id=5137165" TargetMode="External"/><Relationship Id="rId39" Type="http://schemas.openxmlformats.org/officeDocument/2006/relationships/hyperlink" Target="https://figshare.com/s/b78d2c82767ab7d86beb" TargetMode="External"/><Relationship Id="rId38" Type="http://schemas.openxmlformats.org/officeDocument/2006/relationships/hyperlink" Target="https://arxiv.org/abs/2502.03127" TargetMode="External"/><Relationship Id="rId20" Type="http://schemas.openxmlformats.org/officeDocument/2006/relationships/hyperlink" Target="https://zenodo.org/records/14020461" TargetMode="External"/><Relationship Id="rId22" Type="http://schemas.openxmlformats.org/officeDocument/2006/relationships/hyperlink" Target="https://figshare.com/articles/dataset/Dataset_for_Security_Smells_for_Ansible_and_Chef_Scripts_A_Replication_Study_/8085755" TargetMode="External"/><Relationship Id="rId21" Type="http://schemas.openxmlformats.org/officeDocument/2006/relationships/hyperlink" Target="https://dl.acm.org/doi/10.1145/3408897" TargetMode="External"/><Relationship Id="rId24" Type="http://schemas.openxmlformats.org/officeDocument/2006/relationships/hyperlink" Target="https://github.com/plasma-umass/Rehearsal/" TargetMode="External"/><Relationship Id="rId23" Type="http://schemas.openxmlformats.org/officeDocument/2006/relationships/hyperlink" Target="https://dl.acm.org/doi/10.1145/2908080.2908083" TargetMode="External"/><Relationship Id="rId26" Type="http://schemas.openxmlformats.org/officeDocument/2006/relationships/hyperlink" Target="https://www.kaggle.com/datasets/stefadp/ansibledefectsprediction" TargetMode="External"/><Relationship Id="rId25" Type="http://schemas.openxmlformats.org/officeDocument/2006/relationships/hyperlink" Target="https://ieeexplore.ieee.org/document/9321740" TargetMode="External"/><Relationship Id="rId28" Type="http://schemas.openxmlformats.org/officeDocument/2006/relationships/hyperlink" Target="https://github.com/radon-h2020/radon-defuse" TargetMode="External"/><Relationship Id="rId27" Type="http://schemas.openxmlformats.org/officeDocument/2006/relationships/hyperlink" Target="https://ieeexplore.ieee.org/document/9978237" TargetMode="External"/><Relationship Id="rId29" Type="http://schemas.openxmlformats.org/officeDocument/2006/relationships/hyperlink" Target="https://dl.acm.org/doi/10.1145/3643916.3644439" TargetMode="External"/><Relationship Id="rId95" Type="http://schemas.openxmlformats.org/officeDocument/2006/relationships/hyperlink" Target="https://github.com/kavinduxo/k8s-pro-sentinel" TargetMode="External"/><Relationship Id="rId94" Type="http://schemas.openxmlformats.org/officeDocument/2006/relationships/hyperlink" Target="https://ieeexplore.ieee.org/document/10857769" TargetMode="External"/><Relationship Id="rId97" Type="http://schemas.openxmlformats.org/officeDocument/2006/relationships/hyperlink" Target="https://ieeexplore.ieee.org/document/10169074" TargetMode="External"/><Relationship Id="rId96" Type="http://schemas.openxmlformats.org/officeDocument/2006/relationships/hyperlink" Target="https://ieeexplore.ieee.org/document/10788674" TargetMode="External"/><Relationship Id="rId11" Type="http://schemas.openxmlformats.org/officeDocument/2006/relationships/hyperlink" Target="https://figshare.com/articles/dataset/Replication_package_for_Smelly_Variables_in_Ansible_Infrastructure_Code_Detection_Prevalence_and_Lifetime_/18819074" TargetMode="External"/><Relationship Id="rId99" Type="http://schemas.openxmlformats.org/officeDocument/2006/relationships/hyperlink" Target="https://ieeexplore.ieee.org/document/9978228" TargetMode="External"/><Relationship Id="rId10" Type="http://schemas.openxmlformats.org/officeDocument/2006/relationships/hyperlink" Target="https://dl.acm.org/doi/10.1145/3524842.3527964" TargetMode="External"/><Relationship Id="rId98" Type="http://schemas.openxmlformats.org/officeDocument/2006/relationships/hyperlink" Target="https://figshare.com/articles/dataset/Replication_Package_for_Automatically_Generating_Dockerfiles_via_Deep-Learning_Challenges_and_Promises_/20722396?file=37028938" TargetMode="External"/><Relationship Id="rId13" Type="http://schemas.openxmlformats.org/officeDocument/2006/relationships/hyperlink" Target="https://figshare.com/s/ad26e370c833e8aa9712" TargetMode="External"/><Relationship Id="rId12" Type="http://schemas.openxmlformats.org/officeDocument/2006/relationships/hyperlink" Target="https://arxiv.org/abs/1810.09605" TargetMode="External"/><Relationship Id="rId91" Type="http://schemas.openxmlformats.org/officeDocument/2006/relationships/hyperlink" Target="https://ieeexplore.ieee.org/document/10092598/citations" TargetMode="External"/><Relationship Id="rId90" Type="http://schemas.openxmlformats.org/officeDocument/2006/relationships/hyperlink" Target="https://ieeexplore.ieee.org/document/8590193" TargetMode="External"/><Relationship Id="rId93" Type="http://schemas.openxmlformats.org/officeDocument/2006/relationships/hyperlink" Target="https://dl.acm.org/doi/10.1145/3618305.3623607" TargetMode="External"/><Relationship Id="rId92" Type="http://schemas.openxmlformats.org/officeDocument/2006/relationships/hyperlink" Target="https://ieeexplore.ieee.org/document/10671452" TargetMode="External"/><Relationship Id="rId118" Type="http://schemas.openxmlformats.org/officeDocument/2006/relationships/drawing" Target="../drawings/drawing1.xml"/><Relationship Id="rId117" Type="http://schemas.openxmlformats.org/officeDocument/2006/relationships/hyperlink" Target="https://github.com/jade-lab/tosca-smells" TargetMode="External"/><Relationship Id="rId116" Type="http://schemas.openxmlformats.org/officeDocument/2006/relationships/hyperlink" Target="https://onlinelibrary.wiley.com/doi/abs/10.1002/smr.2533" TargetMode="External"/><Relationship Id="rId115" Type="http://schemas.openxmlformats.org/officeDocument/2006/relationships/hyperlink" Target="https://github.com/averdet/master-terraform-sec-adoption" TargetMode="External"/><Relationship Id="rId15" Type="http://schemas.openxmlformats.org/officeDocument/2006/relationships/hyperlink" Target="https://hub.docker.com/r/talismanic/tama" TargetMode="External"/><Relationship Id="rId110" Type="http://schemas.openxmlformats.org/officeDocument/2006/relationships/hyperlink" Target="https://ieeexplore.ieee.org/document/10305615" TargetMode="External"/><Relationship Id="rId14" Type="http://schemas.openxmlformats.org/officeDocument/2006/relationships/hyperlink" Target="https://ieeexplore.ieee.org/document/9787876" TargetMode="External"/><Relationship Id="rId17" Type="http://schemas.openxmlformats.org/officeDocument/2006/relationships/hyperlink" Target="https://figshare.com/articles/dataset/State_Reconciliation_Defects_in_Infrastructure_as_Code/24129996?file=44810890" TargetMode="External"/><Relationship Id="rId16" Type="http://schemas.openxmlformats.org/officeDocument/2006/relationships/hyperlink" Target="https://dl.acm.org/doi/10.1145/3660790" TargetMode="External"/><Relationship Id="rId19" Type="http://schemas.openxmlformats.org/officeDocument/2006/relationships/hyperlink" Target="https://arxiv.org/abs/2501.07676" TargetMode="External"/><Relationship Id="rId114" Type="http://schemas.openxmlformats.org/officeDocument/2006/relationships/hyperlink" Target="https://doi.org/10.1007/s10664-024-10610-0" TargetMode="External"/><Relationship Id="rId18" Type="http://schemas.openxmlformats.org/officeDocument/2006/relationships/hyperlink" Target="https://www.sciencedirect.com/science/article/pii/S0164121220301618" TargetMode="External"/><Relationship Id="rId113" Type="http://schemas.openxmlformats.org/officeDocument/2006/relationships/hyperlink" Target="https://ieeexplore.ieee.org/abstract/document/10965635" TargetMode="External"/><Relationship Id="rId112" Type="http://schemas.openxmlformats.org/officeDocument/2006/relationships/hyperlink" Target="https://github.com/yujuanjiang/OpenStackClassificationList" TargetMode="External"/><Relationship Id="rId111" Type="http://schemas.openxmlformats.org/officeDocument/2006/relationships/hyperlink" Target="https://ieeexplore.ieee.org/document/7180066" TargetMode="External"/><Relationship Id="rId84" Type="http://schemas.openxmlformats.org/officeDocument/2006/relationships/hyperlink" Target="https://ieeexplore.ieee.org/document/8812041" TargetMode="External"/><Relationship Id="rId83" Type="http://schemas.openxmlformats.org/officeDocument/2006/relationships/hyperlink" Target="https://github.com/ansible-community/lightspeed-analysis-framework" TargetMode="External"/><Relationship Id="rId86" Type="http://schemas.openxmlformats.org/officeDocument/2006/relationships/hyperlink" Target="https://ieeexplore.ieee.org/document/8115673/citations" TargetMode="External"/><Relationship Id="rId85" Type="http://schemas.openxmlformats.org/officeDocument/2006/relationships/hyperlink" Target="https://doi.org/10.6084/m9.figshare.6943316" TargetMode="External"/><Relationship Id="rId88" Type="http://schemas.openxmlformats.org/officeDocument/2006/relationships/hyperlink" Target="https://ieeexplore.ieee.org/document/9833145" TargetMode="External"/><Relationship Id="rId87" Type="http://schemas.openxmlformats.org/officeDocument/2006/relationships/hyperlink" Target="https://github.com/plasma-umass/Tortoise" TargetMode="External"/><Relationship Id="rId89" Type="http://schemas.openxmlformats.org/officeDocument/2006/relationships/hyperlink" Target="https://github.com/SoftwareForHumans/Dockerlive" TargetMode="External"/><Relationship Id="rId80" Type="http://schemas.openxmlformats.org/officeDocument/2006/relationships/hyperlink" Target="https://dl.acm.org/doi/10.1145/3639478.3643078" TargetMode="External"/><Relationship Id="rId82" Type="http://schemas.openxmlformats.org/officeDocument/2006/relationships/hyperlink" Target="https://ieeexplore.ieee.org/document/10764992" TargetMode="External"/><Relationship Id="rId81" Type="http://schemas.openxmlformats.org/officeDocument/2006/relationships/hyperlink" Target="https://zenodo.org/records/14203377" TargetMode="External"/><Relationship Id="rId1" Type="http://schemas.openxmlformats.org/officeDocument/2006/relationships/hyperlink" Target="https://dl.acm.org/doi/pdf/10.1145/2901739.2901761" TargetMode="External"/><Relationship Id="rId2" Type="http://schemas.openxmlformats.org/officeDocument/2006/relationships/hyperlink" Target="https://github.com/tushartushar/Puppeteer" TargetMode="External"/><Relationship Id="rId3" Type="http://schemas.openxmlformats.org/officeDocument/2006/relationships/hyperlink" Target="https://github.com/tushartushar/configSmellData" TargetMode="External"/><Relationship Id="rId4" Type="http://schemas.openxmlformats.org/officeDocument/2006/relationships/hyperlink" Target="https://ieeexplore.ieee.org/document/9284113" TargetMode="External"/><Relationship Id="rId9" Type="http://schemas.openxmlformats.org/officeDocument/2006/relationships/hyperlink" Target="https://figshare.com/articles/dataset/GLITCH_Replication_Package_with_Code_and_Datasets_ASE_2022_/19726603/2?file=36939973" TargetMode="External"/><Relationship Id="rId5" Type="http://schemas.openxmlformats.org/officeDocument/2006/relationships/hyperlink" Target="https://hub.docker.com/r/akondrahman/acid-puppet" TargetMode="External"/><Relationship Id="rId6" Type="http://schemas.openxmlformats.org/officeDocument/2006/relationships/hyperlink" Target="https://dl.acm.org/doi/10.1145/3416505.3423564" TargetMode="External"/><Relationship Id="rId7" Type="http://schemas.openxmlformats.org/officeDocument/2006/relationships/hyperlink" Target="https://github.com/SODALITE-EU/defect-prediction" TargetMode="External"/><Relationship Id="rId8" Type="http://schemas.openxmlformats.org/officeDocument/2006/relationships/hyperlink" Target="https://www.computer.org/csdl/proceedings-article/ase/2023/299600c042/1SBGsb6PvS8" TargetMode="External"/><Relationship Id="rId73" Type="http://schemas.openxmlformats.org/officeDocument/2006/relationships/hyperlink" Target="https://figshare.com/s/bced7c8353853a983cd7" TargetMode="External"/><Relationship Id="rId72" Type="http://schemas.openxmlformats.org/officeDocument/2006/relationships/hyperlink" Target="https://dl.acm.org/doi/10.1145/3579639" TargetMode="External"/><Relationship Id="rId75" Type="http://schemas.openxmlformats.org/officeDocument/2006/relationships/hyperlink" Target="https://dl.acm.org/doi/10.1145/3643788.3648014" TargetMode="External"/><Relationship Id="rId74" Type="http://schemas.openxmlformats.org/officeDocument/2006/relationships/hyperlink" Target="https://dl.acm.org/doi/10.1145/3540250.3558912" TargetMode="External"/><Relationship Id="rId77" Type="http://schemas.openxmlformats.org/officeDocument/2006/relationships/hyperlink" Target="https://figshare.com/s/6b6a769b1393eae0774c?file=36708486" TargetMode="External"/><Relationship Id="rId76" Type="http://schemas.openxmlformats.org/officeDocument/2006/relationships/hyperlink" Target="https://dl.acm.org/doi/10.1145/3551349.3560419" TargetMode="External"/><Relationship Id="rId79" Type="http://schemas.openxmlformats.org/officeDocument/2006/relationships/hyperlink" Target="https://figshare.com/s/f64f56ec9eaf2eab1af4" TargetMode="External"/><Relationship Id="rId78" Type="http://schemas.openxmlformats.org/officeDocument/2006/relationships/hyperlink" Target="https://ieeexplore.ieee.org/document/9319290" TargetMode="External"/><Relationship Id="rId71" Type="http://schemas.openxmlformats.org/officeDocument/2006/relationships/hyperlink" Target="https://figshare.com/s/ad26e370c833e8aa9712" TargetMode="External"/><Relationship Id="rId70" Type="http://schemas.openxmlformats.org/officeDocument/2006/relationships/hyperlink" Target="https://dl.acm.org/doi/10.1016/j.infsof.2019.04.013" TargetMode="External"/><Relationship Id="rId62" Type="http://schemas.openxmlformats.org/officeDocument/2006/relationships/hyperlink" Target="https://ieeexplore.ieee.org/document/10174011" TargetMode="External"/><Relationship Id="rId61" Type="http://schemas.openxmlformats.org/officeDocument/2006/relationships/hyperlink" Target="https://zenodo.org/records/13340387" TargetMode="External"/><Relationship Id="rId64" Type="http://schemas.openxmlformats.org/officeDocument/2006/relationships/hyperlink" Target="https://ieeexplore.ieee.org/document/10589858" TargetMode="External"/><Relationship Id="rId63" Type="http://schemas.openxmlformats.org/officeDocument/2006/relationships/hyperlink" Target="https://figshare.com/articles/dataset/Replication_package_for_Control_and_Data_Flow_in_Security_Smell_Detection_for_Infrastructure_as_Code_Is_It_Worth_the_Effort_/21929856" TargetMode="External"/><Relationship Id="rId66" Type="http://schemas.openxmlformats.org/officeDocument/2006/relationships/hyperlink" Target="https://dl.acm.org/doi/10.1145/3643991.3644934" TargetMode="External"/><Relationship Id="rId65" Type="http://schemas.openxmlformats.org/officeDocument/2006/relationships/hyperlink" Target="https://zenodo.org/records/10060209" TargetMode="External"/><Relationship Id="rId68" Type="http://schemas.openxmlformats.org/officeDocument/2006/relationships/hyperlink" Target="https://ieeexplore.ieee.org/document/9787844" TargetMode="External"/><Relationship Id="rId67" Type="http://schemas.openxmlformats.org/officeDocument/2006/relationships/hyperlink" Target="https://figshare.com/s/facf0404c96b32274a35?file=44159249" TargetMode="External"/><Relationship Id="rId60" Type="http://schemas.openxmlformats.org/officeDocument/2006/relationships/hyperlink" Target="https://dl.acm.org/doi/10.1145/3650212.3680396" TargetMode="External"/><Relationship Id="rId69" Type="http://schemas.openxmlformats.org/officeDocument/2006/relationships/hyperlink" Target="https://github.com/cannavit/smoke-test.git" TargetMode="External"/><Relationship Id="rId51" Type="http://schemas.openxmlformats.org/officeDocument/2006/relationships/hyperlink" Target="https://github.com/di-unipi-socc/kube-hound" TargetMode="External"/><Relationship Id="rId50" Type="http://schemas.openxmlformats.org/officeDocument/2006/relationships/hyperlink" Target="https://www.mdpi.com/1999-5903/15/7/228" TargetMode="External"/><Relationship Id="rId53" Type="http://schemas.openxmlformats.org/officeDocument/2006/relationships/hyperlink" Target="https://github.com/SODALITE-EU/defect-prediction" TargetMode="External"/><Relationship Id="rId52" Type="http://schemas.openxmlformats.org/officeDocument/2006/relationships/hyperlink" Target="https://drive.google.com/file/d/101WCE65iQBGi4cWxln1_3Y2xKRb-2DUc/view?usp=sharing" TargetMode="External"/><Relationship Id="rId55" Type="http://schemas.openxmlformats.org/officeDocument/2006/relationships/hyperlink" Target="https://zenodo.org/records/14203377" TargetMode="External"/><Relationship Id="rId54" Type="http://schemas.openxmlformats.org/officeDocument/2006/relationships/hyperlink" Target="https://ieeexplore.ieee.org/document/10516612" TargetMode="External"/><Relationship Id="rId57" Type="http://schemas.openxmlformats.org/officeDocument/2006/relationships/hyperlink" Target="http://arxiv.org/abs/2305.11293" TargetMode="External"/><Relationship Id="rId56" Type="http://schemas.openxmlformats.org/officeDocument/2006/relationships/hyperlink" Target="https://dl.acm.org/doi/10.1109/TSE.2023.3265962" TargetMode="External"/><Relationship Id="rId59" Type="http://schemas.openxmlformats.org/officeDocument/2006/relationships/hyperlink" Target="https://ieeexplore.ieee.org/abstract/document/10376418" TargetMode="External"/><Relationship Id="rId58" Type="http://schemas.openxmlformats.org/officeDocument/2006/relationships/hyperlink" Target="https://zenodo.org/records/10648448"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40" Type="http://schemas.openxmlformats.org/officeDocument/2006/relationships/hyperlink" Target="https://sol.sbc.org.br/index.php/sbes/article/view/30404/30210" TargetMode="External"/><Relationship Id="rId42" Type="http://schemas.openxmlformats.org/officeDocument/2006/relationships/hyperlink" Target="https://dl.acm.org/doi/10.1016/j.infsof.2019.04.013" TargetMode="External"/><Relationship Id="rId41" Type="http://schemas.openxmlformats.org/officeDocument/2006/relationships/hyperlink" Target="https://ieeexplore.ieee.org/document/10224925" TargetMode="External"/><Relationship Id="rId44" Type="http://schemas.openxmlformats.org/officeDocument/2006/relationships/hyperlink" Target="http://arxiv.org/abs/2308.03952" TargetMode="External"/><Relationship Id="rId43" Type="http://schemas.openxmlformats.org/officeDocument/2006/relationships/hyperlink" Target="https://ieeexplore.ieee.org/document/10671452" TargetMode="External"/><Relationship Id="rId46" Type="http://schemas.openxmlformats.org/officeDocument/2006/relationships/hyperlink" Target="https://dl.acm.org/doi/10.1145/3618305.3623607" TargetMode="External"/><Relationship Id="rId45" Type="http://schemas.openxmlformats.org/officeDocument/2006/relationships/hyperlink" Target="https://ieeexplore.ieee.org/document/10575600?denied=" TargetMode="External"/><Relationship Id="rId107" Type="http://schemas.openxmlformats.org/officeDocument/2006/relationships/hyperlink" Target="https://ieeexplore.ieee.org/document/8253192" TargetMode="External"/><Relationship Id="rId106" Type="http://schemas.openxmlformats.org/officeDocument/2006/relationships/hyperlink" Target="https://dl.acm.org/doi/10.1145/2996890.2996901" TargetMode="External"/><Relationship Id="rId105" Type="http://schemas.openxmlformats.org/officeDocument/2006/relationships/hyperlink" Target="https://dl.acm.org/doi/10.1145/2970276.2975939" TargetMode="External"/><Relationship Id="rId104" Type="http://schemas.openxmlformats.org/officeDocument/2006/relationships/hyperlink" Target="https://dl.acm.org/doi/10.1145/2945408.2945420" TargetMode="External"/><Relationship Id="rId109" Type="http://schemas.openxmlformats.org/officeDocument/2006/relationships/hyperlink" Target="http://arxiv.org/abs/2504.08678" TargetMode="External"/><Relationship Id="rId108" Type="http://schemas.openxmlformats.org/officeDocument/2006/relationships/hyperlink" Target="https://www.sciencedirect.com/science/article/pii/S0306437924000802" TargetMode="External"/><Relationship Id="rId48" Type="http://schemas.openxmlformats.org/officeDocument/2006/relationships/hyperlink" Target="https://ieeexplore.ieee.org/document/10803348" TargetMode="External"/><Relationship Id="rId47" Type="http://schemas.openxmlformats.org/officeDocument/2006/relationships/hyperlink" Target="https://dl.acm.org/doi/10.1145/3579639" TargetMode="External"/><Relationship Id="rId49" Type="http://schemas.openxmlformats.org/officeDocument/2006/relationships/hyperlink" Target="https://ieeexplore.ieee.org/document/10857769" TargetMode="External"/><Relationship Id="rId103" Type="http://schemas.openxmlformats.org/officeDocument/2006/relationships/hyperlink" Target="https://ieeexplore.ieee.org/document/9978179" TargetMode="External"/><Relationship Id="rId102" Type="http://schemas.openxmlformats.org/officeDocument/2006/relationships/hyperlink" Target="https://ieeexplore.ieee.org/document/7441074" TargetMode="External"/><Relationship Id="rId101" Type="http://schemas.openxmlformats.org/officeDocument/2006/relationships/hyperlink" Target="https://ieeexplore.ieee.org/document/9908145" TargetMode="External"/><Relationship Id="rId100" Type="http://schemas.openxmlformats.org/officeDocument/2006/relationships/hyperlink" Target="https://ieeexplore.ieee.org/document/9644915" TargetMode="External"/><Relationship Id="rId31" Type="http://schemas.openxmlformats.org/officeDocument/2006/relationships/hyperlink" Target="https://dl.acm.org/doi/10.1145/3183440.3183481" TargetMode="External"/><Relationship Id="rId30" Type="http://schemas.openxmlformats.org/officeDocument/2006/relationships/hyperlink" Target="https://dl.acm.org/doi/10.1109/ICSE-SEIP.2017.1" TargetMode="External"/><Relationship Id="rId33" Type="http://schemas.openxmlformats.org/officeDocument/2006/relationships/hyperlink" Target="https://ieeexplore.ieee.org/document/9209730" TargetMode="External"/><Relationship Id="rId32" Type="http://schemas.openxmlformats.org/officeDocument/2006/relationships/hyperlink" Target="https://ieeexplore.ieee.org/document/9833145" TargetMode="External"/><Relationship Id="rId35" Type="http://schemas.openxmlformats.org/officeDocument/2006/relationships/hyperlink" Target="https://www.researchgate.net/publication/389406746_Infrastructure_as_Code_-Technology_Review_and_Research_Challenges" TargetMode="External"/><Relationship Id="rId34" Type="http://schemas.openxmlformats.org/officeDocument/2006/relationships/hyperlink" Target="https://ieeexplore.ieee.org/document/8590193" TargetMode="External"/><Relationship Id="rId37" Type="http://schemas.openxmlformats.org/officeDocument/2006/relationships/hyperlink" Target="https://ieeexplore.ieee.org/document/10092644" TargetMode="External"/><Relationship Id="rId36" Type="http://schemas.openxmlformats.org/officeDocument/2006/relationships/hyperlink" Target="https://ieeexplore.ieee.org/document/8308385" TargetMode="External"/><Relationship Id="rId39" Type="http://schemas.openxmlformats.org/officeDocument/2006/relationships/hyperlink" Target="https://dl.acm.org/doi/10.1145/3663530.3665019" TargetMode="External"/><Relationship Id="rId38" Type="http://schemas.openxmlformats.org/officeDocument/2006/relationships/hyperlink" Target="https://ieeexplore.ieee.org/document/10092684" TargetMode="External"/><Relationship Id="rId20" Type="http://schemas.openxmlformats.org/officeDocument/2006/relationships/hyperlink" Target="https://dl.acm.org/doi/10.1145/3540250.3558912" TargetMode="External"/><Relationship Id="rId22" Type="http://schemas.openxmlformats.org/officeDocument/2006/relationships/hyperlink" Target="https://dl.acm.org/doi/10.1145/3416504.3424334" TargetMode="External"/><Relationship Id="rId21" Type="http://schemas.openxmlformats.org/officeDocument/2006/relationships/hyperlink" Target="https://dl.acm.org/doi/10.1145/3643788.3648014" TargetMode="External"/><Relationship Id="rId24" Type="http://schemas.openxmlformats.org/officeDocument/2006/relationships/hyperlink" Target="https://ieeexplore.ieee.org/document/9319290" TargetMode="External"/><Relationship Id="rId23" Type="http://schemas.openxmlformats.org/officeDocument/2006/relationships/hyperlink" Target="https://dl.acm.org/doi/10.1145/3551349.3560419" TargetMode="External"/><Relationship Id="rId26" Type="http://schemas.openxmlformats.org/officeDocument/2006/relationships/hyperlink" Target="https://ieeexplore.ieee.org/document/10764992" TargetMode="External"/><Relationship Id="rId25" Type="http://schemas.openxmlformats.org/officeDocument/2006/relationships/hyperlink" Target="https://dl.acm.org/doi/10.1145/3639478.3643078" TargetMode="External"/><Relationship Id="rId28" Type="http://schemas.openxmlformats.org/officeDocument/2006/relationships/hyperlink" Target="https://ieeexplore.ieee.org/document/8115673/citations" TargetMode="External"/><Relationship Id="rId27" Type="http://schemas.openxmlformats.org/officeDocument/2006/relationships/hyperlink" Target="https://ieeexplore.ieee.org/document/8812041" TargetMode="External"/><Relationship Id="rId29" Type="http://schemas.openxmlformats.org/officeDocument/2006/relationships/hyperlink" Target="https://dl.acm.org/doi/10.1145/2786805.2786826" TargetMode="External"/><Relationship Id="rId95" Type="http://schemas.openxmlformats.org/officeDocument/2006/relationships/hyperlink" Target="https://drive.google.com/file/d/1Pu9VctlOrrM7e8TnCZe9F1njMFX12ElG/view?usp=sharing" TargetMode="External"/><Relationship Id="rId94" Type="http://schemas.openxmlformats.org/officeDocument/2006/relationships/hyperlink" Target="https://ieeexplore.ieee.org/document/7809601/citations" TargetMode="External"/><Relationship Id="rId97" Type="http://schemas.openxmlformats.org/officeDocument/2006/relationships/hyperlink" Target="https://dl.acm.org/doi/10.1145/3485517" TargetMode="External"/><Relationship Id="rId96" Type="http://schemas.openxmlformats.org/officeDocument/2006/relationships/hyperlink" Target="https://www.researchgate.net/publication/387688634_Infrastructure_Automation_in_Cloud_Computing_A_Systematic_Review_of_Technologies_Implementation_Patterns_and_Organizational_Impact" TargetMode="External"/><Relationship Id="rId11" Type="http://schemas.openxmlformats.org/officeDocument/2006/relationships/hyperlink" Target="https://ieeexplore.ieee.org/document/10174011" TargetMode="External"/><Relationship Id="rId99" Type="http://schemas.openxmlformats.org/officeDocument/2006/relationships/hyperlink" Target="https://ieeexplore.ieee.org/document/9064138/citations" TargetMode="External"/><Relationship Id="rId10" Type="http://schemas.openxmlformats.org/officeDocument/2006/relationships/hyperlink" Target="https://dl.acm.org/doi/10.1145/3650212.3680396" TargetMode="External"/><Relationship Id="rId98" Type="http://schemas.openxmlformats.org/officeDocument/2006/relationships/hyperlink" Target="https://onlinelibrary.wiley.com/doi/abs/10.1002/smr.2533" TargetMode="External"/><Relationship Id="rId13" Type="http://schemas.openxmlformats.org/officeDocument/2006/relationships/hyperlink" Target="https://ieeexplore.ieee.org/document/9779848/citations?tabFilter=papers" TargetMode="External"/><Relationship Id="rId12" Type="http://schemas.openxmlformats.org/officeDocument/2006/relationships/hyperlink" Target="https://ieeexplore.ieee.org/document/10589858" TargetMode="External"/><Relationship Id="rId91" Type="http://schemas.openxmlformats.org/officeDocument/2006/relationships/hyperlink" Target="http://arxiv.org/abs/2411.19043" TargetMode="External"/><Relationship Id="rId90" Type="http://schemas.openxmlformats.org/officeDocument/2006/relationships/hyperlink" Target="http://arxiv.org/abs/2404.00227" TargetMode="External"/><Relationship Id="rId93" Type="http://schemas.openxmlformats.org/officeDocument/2006/relationships/hyperlink" Target="https://dl.acm.org/doi/10.1145/3383219.3383264" TargetMode="External"/><Relationship Id="rId92" Type="http://schemas.openxmlformats.org/officeDocument/2006/relationships/hyperlink" Target="https://www.sciencedirect.com/science/article/pii/S095058492200221X" TargetMode="External"/><Relationship Id="rId15" Type="http://schemas.openxmlformats.org/officeDocument/2006/relationships/hyperlink" Target="https://dl.acm.org/doi/10.1145/3643991.3644934" TargetMode="External"/><Relationship Id="rId110" Type="http://schemas.openxmlformats.org/officeDocument/2006/relationships/drawing" Target="../drawings/drawing6.xml"/><Relationship Id="rId14" Type="http://schemas.openxmlformats.org/officeDocument/2006/relationships/hyperlink" Target="https://2025.msrconf.org/details/msr-2025-data-and-tool-showcase-track/12/TerraDS-A-Dataset-for-Terraform-HCL-Programs" TargetMode="External"/><Relationship Id="rId17" Type="http://schemas.openxmlformats.org/officeDocument/2006/relationships/hyperlink" Target="https://ieeexplore.ieee.org/document/9787844" TargetMode="External"/><Relationship Id="rId16" Type="http://schemas.openxmlformats.org/officeDocument/2006/relationships/hyperlink" Target="https://ieeexplore.ieee.org/document/10304847" TargetMode="External"/><Relationship Id="rId19" Type="http://schemas.openxmlformats.org/officeDocument/2006/relationships/hyperlink" Target="https://dl.acm.org/doi/10.1145/3368089.3409709" TargetMode="External"/><Relationship Id="rId18" Type="http://schemas.openxmlformats.org/officeDocument/2006/relationships/hyperlink" Target="https://ieeexplore.ieee.org/document/10092598/citations" TargetMode="External"/><Relationship Id="rId84" Type="http://schemas.openxmlformats.org/officeDocument/2006/relationships/hyperlink" Target="https://ieeexplore.ieee.org/abstract/document/10965635" TargetMode="External"/><Relationship Id="rId83" Type="http://schemas.openxmlformats.org/officeDocument/2006/relationships/hyperlink" Target="https://www.researchgate.net/publication/390128023_Enhancing_Infrastructure_as_Code_IaC_with_Automated_Validation_for_Reliable_and_Error-Free_Deployments" TargetMode="External"/><Relationship Id="rId86" Type="http://schemas.openxmlformats.org/officeDocument/2006/relationships/hyperlink" Target="http://arxiv.org/abs/2310.09690" TargetMode="External"/><Relationship Id="rId85" Type="http://schemas.openxmlformats.org/officeDocument/2006/relationships/hyperlink" Target="http://arxiv.org/abs/2405.19954" TargetMode="External"/><Relationship Id="rId88" Type="http://schemas.openxmlformats.org/officeDocument/2006/relationships/hyperlink" Target="https://ieeexplore.ieee.org/abstract/document/10884665" TargetMode="External"/><Relationship Id="rId87" Type="http://schemas.openxmlformats.org/officeDocument/2006/relationships/hyperlink" Target="https://doi.org/10.1007/s10664-024-10610-0" TargetMode="External"/><Relationship Id="rId89" Type="http://schemas.openxmlformats.org/officeDocument/2006/relationships/hyperlink" Target="http://arxiv.org/abs/2502.20825" TargetMode="External"/><Relationship Id="rId80" Type="http://schemas.openxmlformats.org/officeDocument/2006/relationships/hyperlink" Target="https://ieeexplore.ieee.org/document/10172600" TargetMode="External"/><Relationship Id="rId82" Type="http://schemas.openxmlformats.org/officeDocument/2006/relationships/hyperlink" Target="https://dl.acm.org/doi/10.1145/3607186" TargetMode="External"/><Relationship Id="rId81" Type="http://schemas.openxmlformats.org/officeDocument/2006/relationships/hyperlink" Target="https://ieeexplore.ieee.org/document/7180066" TargetMode="External"/><Relationship Id="rId1" Type="http://schemas.openxmlformats.org/officeDocument/2006/relationships/hyperlink" Target="https://www.mdpi.com/1999-5903/15/7/228" TargetMode="External"/><Relationship Id="rId2" Type="http://schemas.openxmlformats.org/officeDocument/2006/relationships/hyperlink" Target="https://www.sciencedirect.com/science/article/pii/S0950584918302507" TargetMode="External"/><Relationship Id="rId3" Type="http://schemas.openxmlformats.org/officeDocument/2006/relationships/hyperlink" Target="https://drive.google.com/file/d/101WCE65iQBGi4cWxln1_3Y2xKRb-2DUc/view?usp=sharing" TargetMode="External"/><Relationship Id="rId4" Type="http://schemas.openxmlformats.org/officeDocument/2006/relationships/hyperlink" Target="https://dl.acm.org/doi/10.1145/3689799" TargetMode="External"/><Relationship Id="rId9" Type="http://schemas.openxmlformats.org/officeDocument/2006/relationships/hyperlink" Target="https://ieeexplore.ieee.org/abstract/document/10376418" TargetMode="External"/><Relationship Id="rId5" Type="http://schemas.openxmlformats.org/officeDocument/2006/relationships/hyperlink" Target="https://ieeexplore.ieee.org/document/10516612" TargetMode="External"/><Relationship Id="rId6" Type="http://schemas.openxmlformats.org/officeDocument/2006/relationships/hyperlink" Target="https://dergipark.org.tr/tr/download/article-file/3463145" TargetMode="External"/><Relationship Id="rId7" Type="http://schemas.openxmlformats.org/officeDocument/2006/relationships/hyperlink" Target="https://dl.acm.org/doi/10.1109/TSE.2023.3265962" TargetMode="External"/><Relationship Id="rId8" Type="http://schemas.openxmlformats.org/officeDocument/2006/relationships/hyperlink" Target="http://arxiv.org/abs/2305.11293" TargetMode="External"/><Relationship Id="rId73" Type="http://schemas.openxmlformats.org/officeDocument/2006/relationships/hyperlink" Target="https://dl.acm.org/doi/10.1109/RCoSE/DDrEE.2019.00009" TargetMode="External"/><Relationship Id="rId72" Type="http://schemas.openxmlformats.org/officeDocument/2006/relationships/hyperlink" Target="https://doi.org/10.1145/3338906.3338926" TargetMode="External"/><Relationship Id="rId75" Type="http://schemas.openxmlformats.org/officeDocument/2006/relationships/hyperlink" Target="https://ieeexplore.ieee.org/document/10254973" TargetMode="External"/><Relationship Id="rId74" Type="http://schemas.openxmlformats.org/officeDocument/2006/relationships/hyperlink" Target="https://ieeexplore.ieee.org/document/10356403" TargetMode="External"/><Relationship Id="rId77" Type="http://schemas.openxmlformats.org/officeDocument/2006/relationships/hyperlink" Target="https://ieeexplore.ieee.org/document/10555773" TargetMode="External"/><Relationship Id="rId76" Type="http://schemas.openxmlformats.org/officeDocument/2006/relationships/hyperlink" Target="https://ieeexplore.ieee.org/document/10920371" TargetMode="External"/><Relationship Id="rId79" Type="http://schemas.openxmlformats.org/officeDocument/2006/relationships/hyperlink" Target="https://ieeexplore.ieee.org/document/10349199" TargetMode="External"/><Relationship Id="rId78" Type="http://schemas.openxmlformats.org/officeDocument/2006/relationships/hyperlink" Target="https://ieeexplore.ieee.org/document/10305615" TargetMode="External"/><Relationship Id="rId71" Type="http://schemas.openxmlformats.org/officeDocument/2006/relationships/hyperlink" Target="https://doi.org/10.1007/s42979-021-00826-y" TargetMode="External"/><Relationship Id="rId70" Type="http://schemas.openxmlformats.org/officeDocument/2006/relationships/hyperlink" Target="https://ieeexplore.ieee.org/document/9650251" TargetMode="External"/><Relationship Id="rId62" Type="http://schemas.openxmlformats.org/officeDocument/2006/relationships/hyperlink" Target="https://ieeexplore.ieee.org/document/4019564" TargetMode="External"/><Relationship Id="rId61" Type="http://schemas.openxmlformats.org/officeDocument/2006/relationships/hyperlink" Target="https://ieeexplore.ieee.org/document/8367077" TargetMode="External"/><Relationship Id="rId64" Type="http://schemas.openxmlformats.org/officeDocument/2006/relationships/hyperlink" Target="https://ieeexplore.ieee.org/document/5609564" TargetMode="External"/><Relationship Id="rId63" Type="http://schemas.openxmlformats.org/officeDocument/2006/relationships/hyperlink" Target="https://ieeexplore.ieee.org/document/8330206" TargetMode="External"/><Relationship Id="rId66" Type="http://schemas.openxmlformats.org/officeDocument/2006/relationships/hyperlink" Target="https://ieeexplore.ieee.org/document/10844273" TargetMode="External"/><Relationship Id="rId65" Type="http://schemas.openxmlformats.org/officeDocument/2006/relationships/hyperlink" Target="https://ieeexplore.ieee.org/document/5328703" TargetMode="External"/><Relationship Id="rId68" Type="http://schemas.openxmlformats.org/officeDocument/2006/relationships/hyperlink" Target="https://dl.acm.org/doi/10.1145/3597503.3639143" TargetMode="External"/><Relationship Id="rId67" Type="http://schemas.openxmlformats.org/officeDocument/2006/relationships/hyperlink" Target="http://arxiv.org/abs/2502.13681" TargetMode="External"/><Relationship Id="rId60" Type="http://schemas.openxmlformats.org/officeDocument/2006/relationships/hyperlink" Target="https://doi.org/10.1007/s10207-024-00914-z" TargetMode="External"/><Relationship Id="rId69" Type="http://schemas.openxmlformats.org/officeDocument/2006/relationships/hyperlink" Target="https://dl.acm.org/doi/10.1145/2814228.2814232" TargetMode="External"/><Relationship Id="rId51" Type="http://schemas.openxmlformats.org/officeDocument/2006/relationships/hyperlink" Target="https://ieeexplore.ieee.org/document/10788674" TargetMode="External"/><Relationship Id="rId50" Type="http://schemas.openxmlformats.org/officeDocument/2006/relationships/hyperlink" Target="https://ieeexplore.ieee.org/document/10494445/citations?tabFilter=papers" TargetMode="External"/><Relationship Id="rId53" Type="http://schemas.openxmlformats.org/officeDocument/2006/relationships/hyperlink" Target="https://ieeexplore.ieee.org/document/9658534" TargetMode="External"/><Relationship Id="rId52" Type="http://schemas.openxmlformats.org/officeDocument/2006/relationships/hyperlink" Target="https://ieeexplore.ieee.org/document/10335324" TargetMode="External"/><Relationship Id="rId55" Type="http://schemas.openxmlformats.org/officeDocument/2006/relationships/hyperlink" Target="https://ieeexplore.ieee.org/document/10795024" TargetMode="External"/><Relationship Id="rId54" Type="http://schemas.openxmlformats.org/officeDocument/2006/relationships/hyperlink" Target="https://ieeexplore.ieee.org/document/10569563" TargetMode="External"/><Relationship Id="rId57" Type="http://schemas.openxmlformats.org/officeDocument/2006/relationships/hyperlink" Target="https://ieeexplore.ieee.org/document/9978228" TargetMode="External"/><Relationship Id="rId56" Type="http://schemas.openxmlformats.org/officeDocument/2006/relationships/hyperlink" Target="https://ieeexplore.ieee.org/document/10169074" TargetMode="External"/><Relationship Id="rId59" Type="http://schemas.openxmlformats.org/officeDocument/2006/relationships/hyperlink" Target="https://www.sciencedirect.com/science/article/pii/S2352711020303460" TargetMode="External"/><Relationship Id="rId58" Type="http://schemas.openxmlformats.org/officeDocument/2006/relationships/hyperlink" Target="https://www.sciencedirect.com/science/article/pii/S0140366423002086"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ieeexplore.ieee.org/search/searchresult.jsp?action=search&amp;matchBoolean=true&amp;newsearch=true&amp;queryText=(((%22All%20Metadata%22:%20%22Infrastructure%20as%20Code%22%20OR%20%22All%20Metadata%22:%20%22IaC%22)%20AND%20(%22All%20Metadata%22:%22defect%22%20OR%20%22All%20Metadata%22:%22bug%22%20OR%20%22All%20Metadata%22:%22smell%22%20OR%20%22All%20Metadata%22:%22anti-pattern%22%20OR%20%22All%20Metadata%22:%22testing%22%20OR%20%22All%20Metadata%22:%22analysis%22%20OR%20%22All%20Metadata%22:%22verification%22)%20))&amp;highlight=true&amp;returnType=SEARCH&amp;matchPubs=true&amp;rowsPerPage=25&amp;pageNumber=1&amp;returnFacets=ALL" TargetMode="External"/><Relationship Id="rId2" Type="http://schemas.openxmlformats.org/officeDocument/2006/relationships/hyperlink" Target="https://dl.acm.org/action/doSearch?fillQuickSearch=false&amp;target=advanced&amp;expand=dl&amp;AllField=AllField%3A%28%28%22Infrastructure+as+Code%22+OR+%22IaC%22%29+AND+%28%22defect%22+OR+%22bug%22+OR+%22smell%22+OR+%22anti-pattern%22+OR+%22testing%22+OR+%22analysis%22+OR+%22verification%22%29%29" TargetMode="External"/><Relationship Id="rId3" Type="http://schemas.openxmlformats.org/officeDocument/2006/relationships/hyperlink" Target="https://www.sciencedirect.com/search?qs=%28%22Infrastructure+as+Code%22%29+AND+%28%22defect%22+OR+%22bug%22+OR+%22smell%22+OR+%22anti-pattern%22+OR+%22testing%22+OR++%22analysis%22+OR+%22verification%22" TargetMode="External"/><Relationship Id="rId4" Type="http://schemas.openxmlformats.org/officeDocument/2006/relationships/hyperlink" Target="https://link.springer.com/search?query=%28%22Infrastructure+as+Code%22%29+AND+%28%22defect%22+OR+%22bug%22+OR+%22smell%22+OR+%22anti-pattern%22+OR+%22testing%22+OR+%22analysis%22+OR+%22verification%22%29&amp;advancedSearch=true&amp;dateFrom=&amp;dateTo=&amp;sortBy=relevance" TargetMode="External"/><Relationship Id="rId5"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75"/>
    <col customWidth="1" min="2" max="2" width="7.0"/>
    <col customWidth="1" min="3" max="3" width="8.13"/>
    <col customWidth="1" min="4" max="4" width="8.25"/>
    <col customWidth="1" min="5" max="5" width="26.0"/>
    <col customWidth="1" min="6" max="6" width="17.5"/>
    <col customWidth="1" min="7" max="7" width="12.13"/>
    <col customWidth="1" min="8" max="8" width="23.5"/>
    <col customWidth="1" min="9" max="9" width="25.75"/>
    <col customWidth="1" min="10" max="10" width="23.0"/>
    <col customWidth="1" min="11" max="11" width="21.13"/>
    <col customWidth="1" min="12" max="12" width="23.88"/>
    <col customWidth="1" min="13" max="13" width="25.5"/>
    <col customWidth="1" min="14" max="14" width="8.88"/>
    <col customWidth="1" min="16" max="16" width="8.25"/>
    <col customWidth="1" min="17" max="17" width="5.5"/>
    <col customWidth="1" min="18" max="18" width="8.75"/>
  </cols>
  <sheetData>
    <row r="1">
      <c r="A1" s="1" t="s">
        <v>0</v>
      </c>
      <c r="B1" s="2" t="s">
        <v>1</v>
      </c>
      <c r="C1" s="3" t="s">
        <v>2</v>
      </c>
      <c r="D1" s="4" t="s">
        <v>3</v>
      </c>
      <c r="E1" s="5" t="s">
        <v>4</v>
      </c>
      <c r="F1" s="5" t="s">
        <v>5</v>
      </c>
      <c r="G1" s="6" t="s">
        <v>6</v>
      </c>
      <c r="H1" s="7" t="s">
        <v>7</v>
      </c>
      <c r="I1" s="7" t="s">
        <v>8</v>
      </c>
      <c r="J1" s="5" t="s">
        <v>9</v>
      </c>
      <c r="K1" s="8" t="s">
        <v>10</v>
      </c>
      <c r="L1" s="8" t="s">
        <v>11</v>
      </c>
      <c r="M1" s="4" t="s">
        <v>12</v>
      </c>
      <c r="N1" s="7" t="s">
        <v>13</v>
      </c>
      <c r="O1" s="9" t="s">
        <v>14</v>
      </c>
      <c r="P1" s="10" t="s">
        <v>15</v>
      </c>
      <c r="Q1" s="11" t="s">
        <v>16</v>
      </c>
      <c r="R1" s="11" t="s">
        <v>17</v>
      </c>
      <c r="S1" s="12" t="s">
        <v>18</v>
      </c>
      <c r="T1" s="12" t="s">
        <v>19</v>
      </c>
      <c r="U1" s="13"/>
    </row>
    <row r="2">
      <c r="A2" s="14" t="s">
        <v>20</v>
      </c>
      <c r="B2" s="15" t="s">
        <v>21</v>
      </c>
      <c r="C2" s="16" t="s">
        <v>22</v>
      </c>
      <c r="D2" s="17" t="s">
        <v>23</v>
      </c>
      <c r="E2" s="18" t="s">
        <v>24</v>
      </c>
      <c r="F2" s="19" t="s">
        <v>25</v>
      </c>
      <c r="G2" s="18" t="s">
        <v>26</v>
      </c>
      <c r="H2" s="18" t="s">
        <v>27</v>
      </c>
      <c r="I2" s="20" t="s">
        <v>28</v>
      </c>
      <c r="J2" s="19" t="s">
        <v>29</v>
      </c>
      <c r="K2" s="21" t="s">
        <v>30</v>
      </c>
      <c r="L2" s="22" t="s">
        <v>31</v>
      </c>
      <c r="M2" s="23" t="s">
        <v>32</v>
      </c>
      <c r="N2" s="24" t="s">
        <v>33</v>
      </c>
      <c r="O2" s="25" t="s">
        <v>34</v>
      </c>
      <c r="P2" s="10" t="s">
        <v>35</v>
      </c>
      <c r="Q2" s="26">
        <f t="array" ref="Q2:Q945">IF(A2:A945="","",
    IFERROR(
      VLOOKUP(A2:A945, {'All papers'!C:C, 'All papers'!A:A}, 2, FALSE),
      "Not Found"
    )
  )
</f>
        <v>2016</v>
      </c>
      <c r="R2" s="27" t="s">
        <v>36</v>
      </c>
      <c r="S2" s="28" t="s">
        <v>37</v>
      </c>
      <c r="T2" s="28" t="s">
        <v>38</v>
      </c>
      <c r="U2" s="13"/>
    </row>
    <row r="3" ht="102.0" customHeight="1">
      <c r="D3" s="17" t="s">
        <v>39</v>
      </c>
      <c r="O3" s="29" t="s">
        <v>40</v>
      </c>
      <c r="U3" s="13"/>
    </row>
    <row r="4">
      <c r="A4" s="30" t="s">
        <v>41</v>
      </c>
      <c r="B4" s="31" t="s">
        <v>42</v>
      </c>
      <c r="C4" s="32" t="s">
        <v>43</v>
      </c>
      <c r="D4" s="17" t="s">
        <v>44</v>
      </c>
      <c r="E4" s="18" t="s">
        <v>24</v>
      </c>
      <c r="F4" s="19" t="s">
        <v>25</v>
      </c>
      <c r="G4" s="23" t="s">
        <v>45</v>
      </c>
      <c r="H4" s="23" t="s">
        <v>46</v>
      </c>
      <c r="I4" s="17" t="s">
        <v>47</v>
      </c>
      <c r="J4" s="23" t="s">
        <v>29</v>
      </c>
      <c r="K4" s="21" t="s">
        <v>30</v>
      </c>
      <c r="L4" s="22" t="s">
        <v>31</v>
      </c>
      <c r="M4" s="23" t="s">
        <v>32</v>
      </c>
      <c r="N4" s="24" t="s">
        <v>33</v>
      </c>
      <c r="O4" s="33" t="s">
        <v>48</v>
      </c>
      <c r="P4" s="27" t="s">
        <v>49</v>
      </c>
      <c r="Q4" s="26">
        <v>2020.0</v>
      </c>
      <c r="R4" s="27" t="s">
        <v>36</v>
      </c>
      <c r="S4" s="28" t="s">
        <v>17</v>
      </c>
      <c r="T4" s="28" t="s">
        <v>50</v>
      </c>
      <c r="U4" s="13"/>
    </row>
    <row r="5">
      <c r="A5" s="34" t="s">
        <v>51</v>
      </c>
      <c r="B5" s="35" t="s">
        <v>52</v>
      </c>
      <c r="C5" s="32" t="s">
        <v>22</v>
      </c>
      <c r="D5" s="36" t="s">
        <v>53</v>
      </c>
      <c r="E5" s="37" t="s">
        <v>24</v>
      </c>
      <c r="F5" s="24" t="s">
        <v>54</v>
      </c>
      <c r="G5" s="23" t="s">
        <v>55</v>
      </c>
      <c r="H5" s="38" t="s">
        <v>46</v>
      </c>
      <c r="I5" s="24" t="s">
        <v>47</v>
      </c>
      <c r="J5" s="23" t="s">
        <v>29</v>
      </c>
      <c r="K5" s="21" t="s">
        <v>56</v>
      </c>
      <c r="L5" s="22" t="s">
        <v>57</v>
      </c>
      <c r="M5" s="23" t="s">
        <v>32</v>
      </c>
      <c r="N5" s="24" t="s">
        <v>33</v>
      </c>
      <c r="O5" s="29" t="s">
        <v>58</v>
      </c>
      <c r="P5" s="27" t="s">
        <v>49</v>
      </c>
      <c r="Q5" s="26">
        <v>2020.0</v>
      </c>
      <c r="R5" s="27" t="s">
        <v>36</v>
      </c>
      <c r="S5" s="28" t="s">
        <v>17</v>
      </c>
      <c r="T5" s="39" t="s">
        <v>38</v>
      </c>
      <c r="U5" s="13"/>
    </row>
    <row r="6">
      <c r="A6" s="30" t="s">
        <v>59</v>
      </c>
      <c r="B6" s="31" t="s">
        <v>60</v>
      </c>
      <c r="C6" s="32" t="s">
        <v>22</v>
      </c>
      <c r="D6" s="17" t="s">
        <v>61</v>
      </c>
      <c r="E6" s="18" t="s">
        <v>62</v>
      </c>
      <c r="F6" s="40" t="s">
        <v>63</v>
      </c>
      <c r="G6" s="23" t="s">
        <v>64</v>
      </c>
      <c r="H6" s="23" t="s">
        <v>46</v>
      </c>
      <c r="I6" s="40" t="s">
        <v>47</v>
      </c>
      <c r="J6" s="19" t="s">
        <v>65</v>
      </c>
      <c r="K6" s="21" t="s">
        <v>66</v>
      </c>
      <c r="L6" s="22" t="s">
        <v>31</v>
      </c>
      <c r="M6" s="23" t="s">
        <v>32</v>
      </c>
      <c r="N6" s="24" t="s">
        <v>33</v>
      </c>
      <c r="O6" s="31" t="s">
        <v>67</v>
      </c>
      <c r="P6" s="27" t="s">
        <v>49</v>
      </c>
      <c r="Q6" s="26">
        <v>2023.0</v>
      </c>
      <c r="R6" s="27" t="s">
        <v>36</v>
      </c>
      <c r="S6" s="39" t="s">
        <v>37</v>
      </c>
      <c r="T6" s="39" t="s">
        <v>68</v>
      </c>
      <c r="U6" s="13"/>
    </row>
    <row r="7">
      <c r="A7" s="30" t="s">
        <v>69</v>
      </c>
      <c r="B7" s="31" t="s">
        <v>70</v>
      </c>
      <c r="C7" s="32" t="s">
        <v>22</v>
      </c>
      <c r="D7" s="40" t="s">
        <v>71</v>
      </c>
      <c r="E7" s="18" t="s">
        <v>24</v>
      </c>
      <c r="F7" s="40" t="s">
        <v>54</v>
      </c>
      <c r="G7" s="23" t="s">
        <v>72</v>
      </c>
      <c r="H7" s="23" t="s">
        <v>46</v>
      </c>
      <c r="I7" s="40" t="s">
        <v>47</v>
      </c>
      <c r="J7" s="23" t="s">
        <v>29</v>
      </c>
      <c r="K7" s="21" t="s">
        <v>73</v>
      </c>
      <c r="L7" s="22" t="s">
        <v>74</v>
      </c>
      <c r="M7" s="23" t="s">
        <v>32</v>
      </c>
      <c r="N7" s="24" t="s">
        <v>33</v>
      </c>
      <c r="O7" s="29" t="s">
        <v>75</v>
      </c>
      <c r="P7" s="27" t="s">
        <v>35</v>
      </c>
      <c r="Q7" s="26">
        <v>2022.0</v>
      </c>
      <c r="R7" s="27" t="s">
        <v>36</v>
      </c>
      <c r="S7" s="28" t="s">
        <v>76</v>
      </c>
      <c r="T7" s="39" t="s">
        <v>68</v>
      </c>
      <c r="U7" s="13"/>
    </row>
    <row r="8">
      <c r="A8" s="41" t="s">
        <v>77</v>
      </c>
      <c r="B8" s="42" t="s">
        <v>78</v>
      </c>
      <c r="C8" s="32" t="s">
        <v>22</v>
      </c>
      <c r="D8" s="17" t="s">
        <v>79</v>
      </c>
      <c r="E8" s="18" t="s">
        <v>24</v>
      </c>
      <c r="F8" s="19" t="s">
        <v>25</v>
      </c>
      <c r="G8" s="23" t="s">
        <v>80</v>
      </c>
      <c r="H8" s="23" t="s">
        <v>46</v>
      </c>
      <c r="I8" s="17" t="s">
        <v>47</v>
      </c>
      <c r="J8" s="23" t="s">
        <v>29</v>
      </c>
      <c r="K8" s="21" t="s">
        <v>81</v>
      </c>
      <c r="L8" s="22" t="s">
        <v>57</v>
      </c>
      <c r="M8" s="23" t="s">
        <v>32</v>
      </c>
      <c r="N8" s="24" t="s">
        <v>33</v>
      </c>
      <c r="O8" s="29" t="s">
        <v>82</v>
      </c>
      <c r="P8" s="10" t="s">
        <v>83</v>
      </c>
      <c r="Q8" s="26">
        <v>2019.0</v>
      </c>
      <c r="R8" s="27" t="s">
        <v>36</v>
      </c>
      <c r="S8" s="28" t="s">
        <v>76</v>
      </c>
      <c r="T8" s="39" t="s">
        <v>68</v>
      </c>
      <c r="U8" s="13"/>
    </row>
    <row r="9">
      <c r="A9" s="30" t="s">
        <v>84</v>
      </c>
      <c r="B9" s="31" t="s">
        <v>85</v>
      </c>
      <c r="C9" s="32" t="s">
        <v>43</v>
      </c>
      <c r="D9" s="17" t="s">
        <v>86</v>
      </c>
      <c r="E9" s="18" t="s">
        <v>24</v>
      </c>
      <c r="F9" s="40" t="s">
        <v>54</v>
      </c>
      <c r="G9" s="37" t="s">
        <v>87</v>
      </c>
      <c r="H9" s="23" t="s">
        <v>46</v>
      </c>
      <c r="I9" s="17" t="s">
        <v>47</v>
      </c>
      <c r="J9" s="23" t="s">
        <v>29</v>
      </c>
      <c r="K9" s="43" t="s">
        <v>88</v>
      </c>
      <c r="L9" s="22" t="s">
        <v>31</v>
      </c>
      <c r="M9" s="23" t="s">
        <v>32</v>
      </c>
      <c r="N9" s="24" t="s">
        <v>33</v>
      </c>
      <c r="O9" s="29" t="s">
        <v>89</v>
      </c>
      <c r="P9" s="27" t="s">
        <v>35</v>
      </c>
      <c r="Q9" s="26">
        <v>2022.0</v>
      </c>
      <c r="R9" s="27" t="s">
        <v>36</v>
      </c>
      <c r="S9" s="28" t="s">
        <v>37</v>
      </c>
      <c r="T9" s="39" t="s">
        <v>90</v>
      </c>
      <c r="U9" s="13"/>
    </row>
    <row r="10">
      <c r="A10" s="41" t="s">
        <v>91</v>
      </c>
      <c r="B10" s="31" t="s">
        <v>92</v>
      </c>
      <c r="C10" s="32" t="s">
        <v>22</v>
      </c>
      <c r="D10" s="17" t="s">
        <v>79</v>
      </c>
      <c r="E10" s="18" t="s">
        <v>62</v>
      </c>
      <c r="F10" s="40" t="s">
        <v>63</v>
      </c>
      <c r="G10" s="37" t="s">
        <v>93</v>
      </c>
      <c r="H10" s="23" t="s">
        <v>94</v>
      </c>
      <c r="I10" s="17" t="s">
        <v>47</v>
      </c>
      <c r="J10" s="18" t="s">
        <v>65</v>
      </c>
      <c r="K10" s="21" t="s">
        <v>65</v>
      </c>
      <c r="L10" s="22" t="s">
        <v>95</v>
      </c>
      <c r="M10" s="18" t="s">
        <v>96</v>
      </c>
      <c r="N10" s="24" t="s">
        <v>33</v>
      </c>
      <c r="O10" s="29" t="s">
        <v>97</v>
      </c>
      <c r="P10" s="27" t="s">
        <v>49</v>
      </c>
      <c r="Q10" s="26">
        <v>2024.0</v>
      </c>
      <c r="R10" s="27" t="s">
        <v>36</v>
      </c>
      <c r="S10" s="28" t="s">
        <v>37</v>
      </c>
      <c r="T10" s="39" t="s">
        <v>68</v>
      </c>
      <c r="U10" s="36"/>
    </row>
    <row r="11">
      <c r="A11" s="30" t="s">
        <v>98</v>
      </c>
      <c r="B11" s="31" t="s">
        <v>99</v>
      </c>
      <c r="C11" s="32" t="s">
        <v>100</v>
      </c>
      <c r="D11" s="17" t="s">
        <v>79</v>
      </c>
      <c r="E11" s="18" t="s">
        <v>62</v>
      </c>
      <c r="F11" s="40" t="s">
        <v>54</v>
      </c>
      <c r="G11" s="37" t="s">
        <v>101</v>
      </c>
      <c r="H11" s="21" t="s">
        <v>46</v>
      </c>
      <c r="I11" s="17" t="s">
        <v>47</v>
      </c>
      <c r="J11" s="23" t="s">
        <v>29</v>
      </c>
      <c r="K11" s="21" t="s">
        <v>102</v>
      </c>
      <c r="L11" s="22" t="s">
        <v>102</v>
      </c>
      <c r="M11" s="18" t="s">
        <v>102</v>
      </c>
      <c r="N11" s="24" t="s">
        <v>103</v>
      </c>
      <c r="O11" s="10" t="s">
        <v>104</v>
      </c>
      <c r="Q11" s="26">
        <v>2020.0</v>
      </c>
      <c r="R11" s="27" t="s">
        <v>102</v>
      </c>
      <c r="S11" s="28" t="s">
        <v>104</v>
      </c>
      <c r="T11" s="39" t="s">
        <v>102</v>
      </c>
      <c r="U11" s="36"/>
    </row>
    <row r="12">
      <c r="A12" s="30" t="s">
        <v>105</v>
      </c>
      <c r="B12" s="42" t="s">
        <v>106</v>
      </c>
      <c r="C12" s="32" t="s">
        <v>43</v>
      </c>
      <c r="D12" s="17" t="s">
        <v>79</v>
      </c>
      <c r="E12" s="18" t="s">
        <v>24</v>
      </c>
      <c r="F12" s="40" t="s">
        <v>107</v>
      </c>
      <c r="G12" s="37" t="s">
        <v>108</v>
      </c>
      <c r="H12" s="18" t="s">
        <v>46</v>
      </c>
      <c r="I12" s="17" t="s">
        <v>47</v>
      </c>
      <c r="J12" s="19" t="s">
        <v>109</v>
      </c>
      <c r="K12" s="21" t="s">
        <v>30</v>
      </c>
      <c r="L12" s="22" t="s">
        <v>31</v>
      </c>
      <c r="M12" s="18" t="s">
        <v>32</v>
      </c>
      <c r="N12" s="24" t="s">
        <v>33</v>
      </c>
      <c r="O12" s="29" t="s">
        <v>110</v>
      </c>
      <c r="Q12" s="26">
        <v>2025.0</v>
      </c>
      <c r="R12" s="27" t="s">
        <v>36</v>
      </c>
      <c r="S12" s="39" t="s">
        <v>37</v>
      </c>
      <c r="T12" s="39" t="s">
        <v>111</v>
      </c>
      <c r="U12" s="36"/>
    </row>
    <row r="13">
      <c r="A13" s="30" t="s">
        <v>112</v>
      </c>
      <c r="B13" s="31" t="s">
        <v>113</v>
      </c>
      <c r="C13" s="32" t="s">
        <v>22</v>
      </c>
      <c r="D13" s="17" t="s">
        <v>114</v>
      </c>
      <c r="E13" s="18" t="s">
        <v>115</v>
      </c>
      <c r="F13" s="40" t="s">
        <v>116</v>
      </c>
      <c r="G13" s="37" t="s">
        <v>117</v>
      </c>
      <c r="H13" s="23" t="s">
        <v>46</v>
      </c>
      <c r="I13" s="17" t="s">
        <v>47</v>
      </c>
      <c r="J13" s="23" t="s">
        <v>29</v>
      </c>
      <c r="K13" s="21" t="s">
        <v>30</v>
      </c>
      <c r="L13" s="22" t="s">
        <v>31</v>
      </c>
      <c r="M13" s="23" t="s">
        <v>32</v>
      </c>
      <c r="N13" s="24" t="s">
        <v>33</v>
      </c>
      <c r="O13" s="31" t="s">
        <v>118</v>
      </c>
      <c r="P13" s="27" t="s">
        <v>83</v>
      </c>
      <c r="Q13" s="26">
        <v>2021.0</v>
      </c>
      <c r="R13" s="27" t="s">
        <v>36</v>
      </c>
      <c r="S13" s="39" t="s">
        <v>76</v>
      </c>
      <c r="T13" s="39" t="s">
        <v>68</v>
      </c>
      <c r="U13" s="36"/>
    </row>
    <row r="14">
      <c r="A14" s="30" t="s">
        <v>119</v>
      </c>
      <c r="B14" s="31" t="s">
        <v>120</v>
      </c>
      <c r="C14" s="32" t="s">
        <v>121</v>
      </c>
      <c r="D14" s="17" t="s">
        <v>122</v>
      </c>
      <c r="E14" s="18" t="s">
        <v>24</v>
      </c>
      <c r="F14" s="18" t="s">
        <v>25</v>
      </c>
      <c r="G14" s="37" t="s">
        <v>123</v>
      </c>
      <c r="H14" s="23" t="s">
        <v>46</v>
      </c>
      <c r="I14" s="17" t="s">
        <v>47</v>
      </c>
      <c r="J14" s="23" t="s">
        <v>29</v>
      </c>
      <c r="K14" s="21" t="s">
        <v>124</v>
      </c>
      <c r="L14" s="22" t="s">
        <v>125</v>
      </c>
      <c r="M14" s="23" t="s">
        <v>32</v>
      </c>
      <c r="N14" s="24" t="s">
        <v>33</v>
      </c>
      <c r="O14" s="29" t="s">
        <v>126</v>
      </c>
      <c r="Q14" s="26">
        <v>2016.0</v>
      </c>
      <c r="R14" s="27" t="s">
        <v>36</v>
      </c>
      <c r="S14" s="39" t="s">
        <v>37</v>
      </c>
      <c r="T14" s="39" t="s">
        <v>38</v>
      </c>
      <c r="U14" s="36"/>
    </row>
    <row r="15">
      <c r="U15" s="36"/>
    </row>
    <row r="16">
      <c r="U16" s="36"/>
    </row>
    <row r="17">
      <c r="U17" s="36"/>
    </row>
    <row r="18">
      <c r="A18" s="34" t="s">
        <v>127</v>
      </c>
      <c r="B18" s="35" t="s">
        <v>128</v>
      </c>
      <c r="C18" s="44" t="s">
        <v>43</v>
      </c>
      <c r="D18" s="36" t="s">
        <v>129</v>
      </c>
      <c r="E18" s="37" t="s">
        <v>24</v>
      </c>
      <c r="F18" s="45" t="s">
        <v>54</v>
      </c>
      <c r="G18" s="37" t="s">
        <v>130</v>
      </c>
      <c r="H18" s="38" t="s">
        <v>46</v>
      </c>
      <c r="I18" s="36" t="s">
        <v>47</v>
      </c>
      <c r="J18" s="38" t="s">
        <v>29</v>
      </c>
      <c r="K18" s="21" t="s">
        <v>131</v>
      </c>
      <c r="L18" s="21" t="s">
        <v>57</v>
      </c>
      <c r="M18" s="38" t="s">
        <v>32</v>
      </c>
      <c r="N18" s="24" t="s">
        <v>33</v>
      </c>
      <c r="O18" s="33" t="s">
        <v>132</v>
      </c>
      <c r="Q18" s="26">
        <v>2022.0</v>
      </c>
      <c r="R18" s="27" t="s">
        <v>36</v>
      </c>
      <c r="S18" s="39" t="s">
        <v>37</v>
      </c>
      <c r="T18" s="39" t="s">
        <v>133</v>
      </c>
      <c r="U18" s="36"/>
    </row>
    <row r="19">
      <c r="A19" s="46" t="s">
        <v>134</v>
      </c>
      <c r="B19" s="35" t="s">
        <v>135</v>
      </c>
      <c r="C19" s="44" t="s">
        <v>43</v>
      </c>
      <c r="D19" s="36" t="s">
        <v>136</v>
      </c>
      <c r="E19" s="37" t="s">
        <v>62</v>
      </c>
      <c r="F19" s="37" t="s">
        <v>137</v>
      </c>
      <c r="G19" s="23" t="s">
        <v>45</v>
      </c>
      <c r="H19" s="38" t="s">
        <v>46</v>
      </c>
      <c r="I19" s="36" t="s">
        <v>47</v>
      </c>
      <c r="J19" s="47" t="s">
        <v>29</v>
      </c>
      <c r="K19" s="21" t="s">
        <v>131</v>
      </c>
      <c r="L19" s="21" t="s">
        <v>57</v>
      </c>
      <c r="M19" s="38" t="s">
        <v>32</v>
      </c>
      <c r="N19" s="24" t="s">
        <v>33</v>
      </c>
      <c r="O19" s="35" t="s">
        <v>138</v>
      </c>
      <c r="P19" s="27" t="s">
        <v>139</v>
      </c>
      <c r="Q19" s="26">
        <v>2022.0</v>
      </c>
      <c r="R19" s="27" t="s">
        <v>36</v>
      </c>
      <c r="S19" s="39" t="s">
        <v>37</v>
      </c>
      <c r="T19" s="39" t="s">
        <v>38</v>
      </c>
      <c r="U19" s="36"/>
    </row>
    <row r="20">
      <c r="A20" s="30" t="s">
        <v>140</v>
      </c>
      <c r="B20" s="31" t="s">
        <v>141</v>
      </c>
      <c r="C20" s="32" t="s">
        <v>22</v>
      </c>
      <c r="D20" s="17" t="s">
        <v>142</v>
      </c>
      <c r="E20" s="18" t="s">
        <v>24</v>
      </c>
      <c r="F20" s="20" t="s">
        <v>107</v>
      </c>
      <c r="G20" s="18" t="s">
        <v>143</v>
      </c>
      <c r="H20" s="23" t="s">
        <v>46</v>
      </c>
      <c r="I20" s="17" t="s">
        <v>47</v>
      </c>
      <c r="J20" s="19" t="s">
        <v>109</v>
      </c>
      <c r="K20" s="21" t="s">
        <v>144</v>
      </c>
      <c r="L20" s="21" t="s">
        <v>74</v>
      </c>
      <c r="M20" s="23" t="s">
        <v>32</v>
      </c>
      <c r="N20" s="24" t="s">
        <v>33</v>
      </c>
      <c r="O20" s="29" t="s">
        <v>145</v>
      </c>
      <c r="P20" s="27" t="s">
        <v>35</v>
      </c>
      <c r="Q20" s="26">
        <v>2024.0</v>
      </c>
      <c r="R20" s="27" t="s">
        <v>36</v>
      </c>
      <c r="S20" s="39" t="s">
        <v>37</v>
      </c>
      <c r="T20" s="39" t="s">
        <v>38</v>
      </c>
      <c r="U20" s="36"/>
    </row>
    <row r="21">
      <c r="A21" s="46" t="s">
        <v>146</v>
      </c>
      <c r="B21" s="35" t="s">
        <v>147</v>
      </c>
      <c r="C21" s="44" t="s">
        <v>43</v>
      </c>
      <c r="D21" s="24" t="s">
        <v>79</v>
      </c>
      <c r="E21" s="37" t="s">
        <v>24</v>
      </c>
      <c r="F21" s="45" t="s">
        <v>107</v>
      </c>
      <c r="G21" s="37" t="s">
        <v>148</v>
      </c>
      <c r="H21" s="38" t="s">
        <v>46</v>
      </c>
      <c r="I21" s="36" t="s">
        <v>47</v>
      </c>
      <c r="J21" s="38" t="s">
        <v>109</v>
      </c>
      <c r="K21" s="21" t="s">
        <v>149</v>
      </c>
      <c r="L21" s="21" t="s">
        <v>57</v>
      </c>
      <c r="M21" s="38" t="s">
        <v>32</v>
      </c>
      <c r="N21" s="24" t="s">
        <v>33</v>
      </c>
      <c r="O21" s="48" t="s">
        <v>104</v>
      </c>
      <c r="Q21" s="26">
        <v>2024.0</v>
      </c>
      <c r="R21" s="27" t="s">
        <v>36</v>
      </c>
      <c r="S21" s="39" t="s">
        <v>104</v>
      </c>
      <c r="T21" s="39" t="s">
        <v>102</v>
      </c>
      <c r="U21" s="36"/>
    </row>
    <row r="22" ht="38.25" customHeight="1">
      <c r="A22" s="46" t="s">
        <v>150</v>
      </c>
      <c r="B22" s="35" t="s">
        <v>151</v>
      </c>
      <c r="C22" s="44" t="s">
        <v>22</v>
      </c>
      <c r="D22" s="24" t="s">
        <v>152</v>
      </c>
      <c r="E22" s="37" t="s">
        <v>24</v>
      </c>
      <c r="F22" s="37" t="s">
        <v>54</v>
      </c>
      <c r="G22" s="37" t="s">
        <v>148</v>
      </c>
      <c r="H22" s="37" t="s">
        <v>153</v>
      </c>
      <c r="I22" s="36" t="s">
        <v>47</v>
      </c>
      <c r="J22" s="47" t="s">
        <v>29</v>
      </c>
      <c r="K22" s="21" t="s">
        <v>154</v>
      </c>
      <c r="L22" s="21" t="s">
        <v>155</v>
      </c>
      <c r="M22" s="37" t="s">
        <v>96</v>
      </c>
      <c r="N22" s="24" t="s">
        <v>33</v>
      </c>
      <c r="O22" s="33" t="s">
        <v>156</v>
      </c>
      <c r="P22" s="27" t="s">
        <v>157</v>
      </c>
      <c r="Q22" s="26">
        <v>2023.0</v>
      </c>
      <c r="R22" s="27" t="s">
        <v>36</v>
      </c>
      <c r="S22" s="39" t="s">
        <v>37</v>
      </c>
      <c r="T22" s="39" t="s">
        <v>38</v>
      </c>
      <c r="U22" s="36"/>
    </row>
    <row r="23">
      <c r="A23" s="46" t="s">
        <v>158</v>
      </c>
      <c r="B23" s="33" t="s">
        <v>159</v>
      </c>
      <c r="C23" s="44" t="s">
        <v>22</v>
      </c>
      <c r="D23" s="36" t="s">
        <v>160</v>
      </c>
      <c r="E23" s="37" t="s">
        <v>62</v>
      </c>
      <c r="F23" s="45" t="s">
        <v>63</v>
      </c>
      <c r="G23" s="37" t="s">
        <v>161</v>
      </c>
      <c r="H23" s="38" t="s">
        <v>46</v>
      </c>
      <c r="I23" s="36" t="s">
        <v>47</v>
      </c>
      <c r="J23" s="47" t="s">
        <v>65</v>
      </c>
      <c r="K23" s="43" t="s">
        <v>162</v>
      </c>
      <c r="L23" s="21" t="s">
        <v>163</v>
      </c>
      <c r="M23" s="38" t="s">
        <v>32</v>
      </c>
      <c r="N23" s="24" t="s">
        <v>33</v>
      </c>
      <c r="O23" s="35" t="s">
        <v>164</v>
      </c>
      <c r="P23" s="27" t="s">
        <v>139</v>
      </c>
      <c r="Q23" s="26">
        <v>2025.0</v>
      </c>
      <c r="R23" s="27" t="s">
        <v>36</v>
      </c>
      <c r="S23" s="39" t="s">
        <v>37</v>
      </c>
      <c r="T23" s="39" t="s">
        <v>111</v>
      </c>
      <c r="U23" s="36"/>
    </row>
    <row r="24" ht="32.25" customHeight="1">
      <c r="A24" s="49" t="s">
        <v>165</v>
      </c>
      <c r="B24" s="31" t="s">
        <v>166</v>
      </c>
      <c r="C24" s="32" t="s">
        <v>167</v>
      </c>
      <c r="D24" s="40" t="s">
        <v>168</v>
      </c>
      <c r="E24" s="18" t="s">
        <v>24</v>
      </c>
      <c r="F24" s="18" t="s">
        <v>169</v>
      </c>
      <c r="G24" s="37" t="s">
        <v>170</v>
      </c>
      <c r="H24" s="23" t="s">
        <v>46</v>
      </c>
      <c r="I24" s="17" t="s">
        <v>47</v>
      </c>
      <c r="J24" s="23" t="s">
        <v>109</v>
      </c>
      <c r="K24" s="21" t="s">
        <v>30</v>
      </c>
      <c r="L24" s="21" t="s">
        <v>31</v>
      </c>
      <c r="M24" s="23" t="s">
        <v>32</v>
      </c>
      <c r="N24" s="24" t="s">
        <v>33</v>
      </c>
      <c r="O24" s="29" t="s">
        <v>171</v>
      </c>
      <c r="Q24" s="26">
        <v>2025.0</v>
      </c>
      <c r="R24" s="27" t="s">
        <v>36</v>
      </c>
      <c r="S24" s="39" t="s">
        <v>37</v>
      </c>
      <c r="T24" s="39" t="s">
        <v>172</v>
      </c>
      <c r="U24" s="36"/>
    </row>
    <row r="25" ht="51.0" customHeight="1">
      <c r="U25" s="36"/>
    </row>
    <row r="26" ht="33.75" customHeight="1">
      <c r="A26" s="41" t="s">
        <v>173</v>
      </c>
      <c r="B26" s="31" t="s">
        <v>174</v>
      </c>
      <c r="C26" s="32" t="s">
        <v>167</v>
      </c>
      <c r="D26" s="17" t="s">
        <v>175</v>
      </c>
      <c r="E26" s="18" t="s">
        <v>24</v>
      </c>
      <c r="F26" s="20" t="s">
        <v>54</v>
      </c>
      <c r="G26" s="37" t="s">
        <v>176</v>
      </c>
      <c r="H26" s="23" t="s">
        <v>46</v>
      </c>
      <c r="I26" s="17" t="s">
        <v>47</v>
      </c>
      <c r="J26" s="23" t="s">
        <v>29</v>
      </c>
      <c r="K26" s="21"/>
      <c r="L26" s="21" t="s">
        <v>155</v>
      </c>
      <c r="M26" s="23" t="s">
        <v>32</v>
      </c>
      <c r="N26" s="24" t="s">
        <v>33</v>
      </c>
      <c r="O26" s="31" t="s">
        <v>177</v>
      </c>
      <c r="Q26" s="26">
        <v>2025.0</v>
      </c>
      <c r="R26" s="27" t="s">
        <v>36</v>
      </c>
      <c r="S26" s="39" t="s">
        <v>37</v>
      </c>
      <c r="T26" s="39" t="s">
        <v>68</v>
      </c>
      <c r="U26" s="36"/>
    </row>
    <row r="27" ht="41.25" customHeight="1">
      <c r="U27" s="36"/>
    </row>
    <row r="28" ht="26.25" customHeight="1">
      <c r="U28" s="36"/>
    </row>
    <row r="29" ht="23.25" customHeight="1">
      <c r="U29" s="36"/>
    </row>
    <row r="30" ht="18.75" customHeight="1">
      <c r="U30" s="36"/>
    </row>
    <row r="31" ht="21.75" customHeight="1">
      <c r="U31" s="36"/>
    </row>
    <row r="32" ht="20.25" customHeight="1">
      <c r="U32" s="36"/>
    </row>
    <row r="33" ht="39.0" customHeight="1">
      <c r="U33" s="36"/>
    </row>
    <row r="34" ht="49.5" customHeight="1">
      <c r="U34" s="36"/>
    </row>
    <row r="35">
      <c r="A35" s="46" t="s">
        <v>178</v>
      </c>
      <c r="B35" s="33" t="s">
        <v>179</v>
      </c>
      <c r="C35" s="44" t="s">
        <v>180</v>
      </c>
      <c r="D35" s="36" t="s">
        <v>181</v>
      </c>
      <c r="E35" s="37" t="s">
        <v>24</v>
      </c>
      <c r="F35" s="45" t="s">
        <v>182</v>
      </c>
      <c r="G35" s="37" t="s">
        <v>183</v>
      </c>
      <c r="H35" s="38" t="s">
        <v>46</v>
      </c>
      <c r="I35" s="45" t="s">
        <v>184</v>
      </c>
      <c r="J35" s="37" t="s">
        <v>109</v>
      </c>
      <c r="K35" s="21" t="s">
        <v>185</v>
      </c>
      <c r="L35" s="21" t="s">
        <v>186</v>
      </c>
      <c r="M35" s="38" t="s">
        <v>32</v>
      </c>
      <c r="N35" s="24" t="s">
        <v>33</v>
      </c>
      <c r="O35" s="33" t="s">
        <v>187</v>
      </c>
      <c r="Q35" s="26">
        <v>2024.0</v>
      </c>
      <c r="R35" s="27" t="s">
        <v>36</v>
      </c>
      <c r="S35" s="39" t="s">
        <v>37</v>
      </c>
      <c r="T35" s="39" t="s">
        <v>172</v>
      </c>
      <c r="U35" s="36"/>
    </row>
    <row r="36">
      <c r="A36" s="30" t="s">
        <v>188</v>
      </c>
      <c r="B36" s="31" t="s">
        <v>189</v>
      </c>
      <c r="C36" s="32" t="s">
        <v>190</v>
      </c>
      <c r="D36" s="17" t="s">
        <v>191</v>
      </c>
      <c r="E36" s="18" t="s">
        <v>24</v>
      </c>
      <c r="F36" s="20" t="s">
        <v>192</v>
      </c>
      <c r="G36" s="18" t="s">
        <v>193</v>
      </c>
      <c r="H36" s="23" t="s">
        <v>46</v>
      </c>
      <c r="I36" s="40" t="s">
        <v>184</v>
      </c>
      <c r="J36" s="23" t="s">
        <v>194</v>
      </c>
      <c r="K36" s="21" t="s">
        <v>65</v>
      </c>
      <c r="L36" s="21" t="s">
        <v>195</v>
      </c>
      <c r="M36" s="23" t="s">
        <v>32</v>
      </c>
      <c r="N36" s="24" t="s">
        <v>33</v>
      </c>
      <c r="O36" s="15" t="s">
        <v>196</v>
      </c>
      <c r="P36" s="27" t="s">
        <v>197</v>
      </c>
      <c r="Q36" s="26">
        <v>2024.0</v>
      </c>
      <c r="R36" s="27" t="s">
        <v>36</v>
      </c>
      <c r="S36" s="39" t="s">
        <v>37</v>
      </c>
      <c r="T36" s="39" t="s">
        <v>38</v>
      </c>
      <c r="U36" s="13"/>
    </row>
    <row r="37">
      <c r="U37" s="13"/>
    </row>
    <row r="38">
      <c r="U38" s="13"/>
    </row>
    <row r="39">
      <c r="U39" s="13"/>
    </row>
    <row r="40">
      <c r="U40" s="13"/>
    </row>
    <row r="41">
      <c r="U41" s="13"/>
    </row>
    <row r="42">
      <c r="U42" s="13"/>
    </row>
    <row r="43">
      <c r="U43" s="13"/>
    </row>
    <row r="44">
      <c r="U44" s="13"/>
    </row>
    <row r="45">
      <c r="U45" s="13"/>
    </row>
    <row r="46">
      <c r="U46" s="13"/>
    </row>
    <row r="47">
      <c r="A47" s="41" t="s">
        <v>198</v>
      </c>
      <c r="B47" s="50" t="s">
        <v>199</v>
      </c>
      <c r="C47" s="32" t="s">
        <v>43</v>
      </c>
      <c r="D47" s="17" t="s">
        <v>200</v>
      </c>
      <c r="E47" s="18" t="s">
        <v>62</v>
      </c>
      <c r="F47" s="20" t="s">
        <v>63</v>
      </c>
      <c r="G47" s="18" t="s">
        <v>201</v>
      </c>
      <c r="H47" s="23" t="s">
        <v>46</v>
      </c>
      <c r="I47" s="20" t="s">
        <v>47</v>
      </c>
      <c r="J47" s="19" t="s">
        <v>65</v>
      </c>
      <c r="K47" s="21" t="s">
        <v>102</v>
      </c>
      <c r="L47" s="21" t="s">
        <v>102</v>
      </c>
      <c r="M47" s="18" t="s">
        <v>102</v>
      </c>
      <c r="N47" s="24" t="s">
        <v>103</v>
      </c>
      <c r="O47" s="50" t="s">
        <v>202</v>
      </c>
      <c r="P47" s="10" t="s">
        <v>203</v>
      </c>
      <c r="Q47" s="26">
        <v>2023.0</v>
      </c>
      <c r="R47" s="27" t="s">
        <v>102</v>
      </c>
      <c r="S47" s="39" t="s">
        <v>76</v>
      </c>
      <c r="T47" s="39" t="s">
        <v>38</v>
      </c>
      <c r="U47" s="13"/>
    </row>
    <row r="48">
      <c r="U48" s="13"/>
    </row>
    <row r="49">
      <c r="U49" s="13"/>
    </row>
    <row r="50">
      <c r="U50" s="13"/>
    </row>
    <row r="51">
      <c r="U51" s="13"/>
    </row>
    <row r="52">
      <c r="U52" s="13"/>
    </row>
    <row r="53">
      <c r="U53" s="13"/>
    </row>
    <row r="54">
      <c r="A54" s="28" t="s">
        <v>204</v>
      </c>
      <c r="B54" s="42" t="s">
        <v>205</v>
      </c>
      <c r="C54" s="32" t="s">
        <v>206</v>
      </c>
      <c r="D54" s="17" t="s">
        <v>207</v>
      </c>
      <c r="E54" s="18" t="s">
        <v>24</v>
      </c>
      <c r="F54" s="20" t="s">
        <v>54</v>
      </c>
      <c r="G54" s="18" t="s">
        <v>208</v>
      </c>
      <c r="H54" s="23" t="s">
        <v>46</v>
      </c>
      <c r="I54" s="17" t="s">
        <v>47</v>
      </c>
      <c r="J54" s="23" t="s">
        <v>29</v>
      </c>
      <c r="K54" s="21" t="s">
        <v>209</v>
      </c>
      <c r="L54" s="21" t="s">
        <v>210</v>
      </c>
      <c r="M54" s="23" t="s">
        <v>32</v>
      </c>
      <c r="N54" s="24" t="s">
        <v>33</v>
      </c>
      <c r="O54" s="29" t="s">
        <v>211</v>
      </c>
      <c r="P54" s="51"/>
      <c r="Q54" s="26">
        <v>2023.0</v>
      </c>
      <c r="R54" s="27" t="s">
        <v>36</v>
      </c>
      <c r="S54" s="39" t="s">
        <v>37</v>
      </c>
      <c r="T54" s="39" t="s">
        <v>68</v>
      </c>
      <c r="U54" s="13"/>
    </row>
    <row r="55">
      <c r="P55" s="51"/>
      <c r="U55" s="13"/>
    </row>
    <row r="56">
      <c r="P56" s="51"/>
      <c r="U56" s="13"/>
    </row>
    <row r="57">
      <c r="P57" s="36"/>
      <c r="U57" s="13"/>
    </row>
    <row r="58">
      <c r="P58" s="36"/>
      <c r="U58" s="13"/>
    </row>
    <row r="59">
      <c r="P59" s="36"/>
      <c r="U59" s="13"/>
    </row>
    <row r="60">
      <c r="A60" s="46" t="s">
        <v>212</v>
      </c>
      <c r="B60" s="35" t="s">
        <v>213</v>
      </c>
      <c r="C60" s="44" t="s">
        <v>22</v>
      </c>
      <c r="D60" s="36" t="s">
        <v>214</v>
      </c>
      <c r="E60" s="37" t="s">
        <v>115</v>
      </c>
      <c r="F60" s="37" t="s">
        <v>107</v>
      </c>
      <c r="G60" s="37" t="s">
        <v>215</v>
      </c>
      <c r="H60" s="37" t="s">
        <v>94</v>
      </c>
      <c r="I60" s="36" t="s">
        <v>47</v>
      </c>
      <c r="J60" s="47" t="s">
        <v>109</v>
      </c>
      <c r="K60" s="21" t="s">
        <v>216</v>
      </c>
      <c r="L60" s="21" t="s">
        <v>217</v>
      </c>
      <c r="M60" s="37" t="s">
        <v>218</v>
      </c>
      <c r="N60" s="24" t="s">
        <v>33</v>
      </c>
      <c r="O60" s="35" t="s">
        <v>219</v>
      </c>
      <c r="P60" s="24" t="s">
        <v>49</v>
      </c>
      <c r="Q60" s="26">
        <v>2025.0</v>
      </c>
      <c r="R60" s="27" t="s">
        <v>36</v>
      </c>
      <c r="S60" s="39" t="s">
        <v>37</v>
      </c>
      <c r="T60" s="39" t="s">
        <v>38</v>
      </c>
      <c r="U60" s="13"/>
    </row>
    <row r="61">
      <c r="A61" s="36" t="s">
        <v>220</v>
      </c>
      <c r="B61" s="31" t="s">
        <v>221</v>
      </c>
      <c r="C61" s="32" t="s">
        <v>222</v>
      </c>
      <c r="D61" s="17" t="s">
        <v>223</v>
      </c>
      <c r="E61" s="18" t="s">
        <v>24</v>
      </c>
      <c r="F61" s="20" t="s">
        <v>192</v>
      </c>
      <c r="G61" s="37" t="s">
        <v>224</v>
      </c>
      <c r="H61" s="23" t="s">
        <v>46</v>
      </c>
      <c r="I61" s="40" t="s">
        <v>184</v>
      </c>
      <c r="J61" s="23" t="s">
        <v>194</v>
      </c>
      <c r="K61" s="21"/>
      <c r="L61" s="21" t="s">
        <v>225</v>
      </c>
      <c r="M61" s="18" t="s">
        <v>96</v>
      </c>
      <c r="N61" s="24" t="s">
        <v>33</v>
      </c>
      <c r="O61" s="42" t="s">
        <v>226</v>
      </c>
      <c r="P61" s="10" t="s">
        <v>83</v>
      </c>
      <c r="Q61" s="26">
        <v>2023.0</v>
      </c>
      <c r="R61" s="27" t="s">
        <v>36</v>
      </c>
      <c r="S61" s="39" t="s">
        <v>37</v>
      </c>
      <c r="T61" s="39" t="s">
        <v>38</v>
      </c>
      <c r="U61" s="13"/>
    </row>
    <row r="62">
      <c r="U62" s="13"/>
    </row>
    <row r="63">
      <c r="U63" s="13"/>
    </row>
    <row r="64">
      <c r="U64" s="13"/>
    </row>
    <row r="65">
      <c r="U65" s="13"/>
    </row>
    <row r="66">
      <c r="U66" s="13"/>
    </row>
    <row r="67">
      <c r="A67" s="51" t="s">
        <v>227</v>
      </c>
      <c r="B67" s="33" t="s">
        <v>228</v>
      </c>
      <c r="C67" s="44" t="s">
        <v>206</v>
      </c>
      <c r="D67" s="52" t="s">
        <v>229</v>
      </c>
      <c r="E67" s="53" t="s">
        <v>62</v>
      </c>
      <c r="F67" s="53" t="s">
        <v>54</v>
      </c>
      <c r="G67" s="37" t="s">
        <v>230</v>
      </c>
      <c r="H67" s="53" t="s">
        <v>46</v>
      </c>
      <c r="I67" s="54" t="s">
        <v>231</v>
      </c>
      <c r="J67" s="53" t="s">
        <v>29</v>
      </c>
      <c r="K67" s="55" t="s">
        <v>65</v>
      </c>
      <c r="L67" s="55" t="s">
        <v>195</v>
      </c>
      <c r="M67" s="53" t="s">
        <v>32</v>
      </c>
      <c r="N67" s="24" t="s">
        <v>33</v>
      </c>
      <c r="O67" s="56" t="s">
        <v>232</v>
      </c>
      <c r="P67" s="51" t="s">
        <v>83</v>
      </c>
      <c r="Q67" s="26">
        <v>2025.0</v>
      </c>
      <c r="R67" s="27" t="s">
        <v>36</v>
      </c>
      <c r="S67" s="39" t="s">
        <v>37</v>
      </c>
      <c r="T67" s="39" t="s">
        <v>172</v>
      </c>
      <c r="U67" s="13"/>
    </row>
    <row r="68">
      <c r="A68" s="51" t="s">
        <v>233</v>
      </c>
      <c r="B68" s="35" t="s">
        <v>234</v>
      </c>
      <c r="C68" s="44" t="s">
        <v>43</v>
      </c>
      <c r="D68" s="52" t="s">
        <v>235</v>
      </c>
      <c r="E68" s="53" t="s">
        <v>115</v>
      </c>
      <c r="F68" s="54" t="s">
        <v>236</v>
      </c>
      <c r="G68" s="37" t="s">
        <v>237</v>
      </c>
      <c r="H68" s="53" t="s">
        <v>238</v>
      </c>
      <c r="I68" s="54" t="s">
        <v>47</v>
      </c>
      <c r="J68" s="53" t="s">
        <v>109</v>
      </c>
      <c r="K68" s="55" t="s">
        <v>239</v>
      </c>
      <c r="L68" s="55" t="s">
        <v>195</v>
      </c>
      <c r="M68" s="53" t="s">
        <v>218</v>
      </c>
      <c r="N68" s="24" t="s">
        <v>33</v>
      </c>
      <c r="O68" s="57" t="s">
        <v>240</v>
      </c>
      <c r="P68" s="51" t="s">
        <v>83</v>
      </c>
      <c r="Q68" s="26">
        <v>2024.0</v>
      </c>
      <c r="R68" s="27" t="s">
        <v>36</v>
      </c>
      <c r="S68" s="39" t="s">
        <v>17</v>
      </c>
      <c r="T68" s="39" t="s">
        <v>172</v>
      </c>
      <c r="U68" s="13"/>
    </row>
    <row r="69">
      <c r="A69" s="51" t="s">
        <v>241</v>
      </c>
      <c r="B69" s="35" t="s">
        <v>242</v>
      </c>
      <c r="C69" s="44" t="s">
        <v>22</v>
      </c>
      <c r="D69" s="52" t="s">
        <v>243</v>
      </c>
      <c r="E69" s="53" t="s">
        <v>24</v>
      </c>
      <c r="F69" s="53" t="s">
        <v>25</v>
      </c>
      <c r="G69" s="37" t="s">
        <v>244</v>
      </c>
      <c r="H69" s="53" t="s">
        <v>46</v>
      </c>
      <c r="I69" s="54" t="s">
        <v>47</v>
      </c>
      <c r="J69" s="53" t="s">
        <v>29</v>
      </c>
      <c r="K69" s="55" t="s">
        <v>245</v>
      </c>
      <c r="L69" s="55" t="s">
        <v>246</v>
      </c>
      <c r="M69" s="53" t="s">
        <v>32</v>
      </c>
      <c r="N69" s="24" t="s">
        <v>33</v>
      </c>
      <c r="O69" s="27" t="s">
        <v>104</v>
      </c>
      <c r="P69" s="51" t="s">
        <v>83</v>
      </c>
      <c r="Q69" s="26">
        <v>2023.0</v>
      </c>
      <c r="R69" s="27" t="s">
        <v>36</v>
      </c>
      <c r="S69" s="39" t="s">
        <v>104</v>
      </c>
      <c r="T69" s="39" t="s">
        <v>102</v>
      </c>
      <c r="U69" s="13"/>
    </row>
    <row r="70">
      <c r="A70" s="51" t="s">
        <v>247</v>
      </c>
      <c r="B70" s="33" t="s">
        <v>248</v>
      </c>
      <c r="C70" s="44" t="s">
        <v>206</v>
      </c>
      <c r="D70" s="52" t="s">
        <v>229</v>
      </c>
      <c r="E70" s="53" t="s">
        <v>24</v>
      </c>
      <c r="F70" s="54" t="s">
        <v>249</v>
      </c>
      <c r="G70" s="37" t="s">
        <v>250</v>
      </c>
      <c r="H70" s="53" t="s">
        <v>251</v>
      </c>
      <c r="I70" s="54" t="s">
        <v>184</v>
      </c>
      <c r="J70" s="53" t="s">
        <v>194</v>
      </c>
      <c r="K70" s="55" t="s">
        <v>102</v>
      </c>
      <c r="L70" s="55" t="s">
        <v>102</v>
      </c>
      <c r="M70" s="53" t="s">
        <v>102</v>
      </c>
      <c r="N70" s="24" t="s">
        <v>103</v>
      </c>
      <c r="O70" s="58" t="s">
        <v>252</v>
      </c>
      <c r="P70" s="51" t="s">
        <v>83</v>
      </c>
      <c r="Q70" s="26">
        <v>2024.0</v>
      </c>
      <c r="R70" s="27" t="s">
        <v>102</v>
      </c>
      <c r="S70" s="39" t="s">
        <v>37</v>
      </c>
      <c r="T70" s="39" t="s">
        <v>111</v>
      </c>
      <c r="U70" s="13"/>
    </row>
    <row r="71" ht="30.0" customHeight="1">
      <c r="A71" s="36" t="s">
        <v>253</v>
      </c>
      <c r="B71" s="35" t="s">
        <v>254</v>
      </c>
      <c r="C71" s="44" t="s">
        <v>43</v>
      </c>
      <c r="D71" s="52" t="s">
        <v>229</v>
      </c>
      <c r="E71" s="53" t="s">
        <v>24</v>
      </c>
      <c r="F71" s="54" t="s">
        <v>54</v>
      </c>
      <c r="G71" s="37" t="s">
        <v>255</v>
      </c>
      <c r="H71" s="53" t="s">
        <v>46</v>
      </c>
      <c r="I71" s="54" t="s">
        <v>47</v>
      </c>
      <c r="J71" s="53" t="s">
        <v>29</v>
      </c>
      <c r="K71" s="55" t="s">
        <v>149</v>
      </c>
      <c r="L71" s="55" t="s">
        <v>57</v>
      </c>
      <c r="M71" s="53" t="s">
        <v>32</v>
      </c>
      <c r="N71" s="24" t="s">
        <v>33</v>
      </c>
      <c r="O71" s="27" t="s">
        <v>104</v>
      </c>
      <c r="P71" s="51" t="s">
        <v>83</v>
      </c>
      <c r="Q71" s="26">
        <v>2023.0</v>
      </c>
      <c r="R71" s="27" t="s">
        <v>36</v>
      </c>
      <c r="S71" s="39" t="s">
        <v>104</v>
      </c>
      <c r="T71" s="39" t="s">
        <v>102</v>
      </c>
      <c r="U71" s="13"/>
    </row>
    <row r="72">
      <c r="A72" s="51" t="s">
        <v>256</v>
      </c>
      <c r="B72" s="35" t="s">
        <v>257</v>
      </c>
      <c r="C72" s="44" t="s">
        <v>121</v>
      </c>
      <c r="D72" s="52" t="s">
        <v>229</v>
      </c>
      <c r="E72" s="53" t="s">
        <v>24</v>
      </c>
      <c r="F72" s="54" t="s">
        <v>192</v>
      </c>
      <c r="G72" s="37" t="s">
        <v>255</v>
      </c>
      <c r="H72" s="53" t="s">
        <v>46</v>
      </c>
      <c r="I72" s="54" t="s">
        <v>231</v>
      </c>
      <c r="J72" s="53" t="s">
        <v>194</v>
      </c>
      <c r="K72" s="55" t="s">
        <v>102</v>
      </c>
      <c r="L72" s="55" t="s">
        <v>102</v>
      </c>
      <c r="M72" s="53" t="s">
        <v>102</v>
      </c>
      <c r="N72" s="24" t="s">
        <v>103</v>
      </c>
      <c r="O72" s="58" t="s">
        <v>258</v>
      </c>
      <c r="P72" s="51" t="s">
        <v>35</v>
      </c>
      <c r="Q72" s="26">
        <v>2024.0</v>
      </c>
      <c r="R72" s="27" t="s">
        <v>102</v>
      </c>
      <c r="S72" s="39" t="s">
        <v>76</v>
      </c>
      <c r="T72" s="39" t="s">
        <v>111</v>
      </c>
      <c r="U72" s="13"/>
    </row>
    <row r="73">
      <c r="A73" s="51" t="s">
        <v>259</v>
      </c>
      <c r="B73" s="35" t="s">
        <v>260</v>
      </c>
      <c r="C73" s="44" t="s">
        <v>43</v>
      </c>
      <c r="D73" s="52" t="s">
        <v>261</v>
      </c>
      <c r="E73" s="53" t="s">
        <v>24</v>
      </c>
      <c r="F73" s="54" t="s">
        <v>54</v>
      </c>
      <c r="G73" s="37" t="s">
        <v>148</v>
      </c>
      <c r="H73" s="53" t="s">
        <v>46</v>
      </c>
      <c r="I73" s="54" t="s">
        <v>184</v>
      </c>
      <c r="J73" s="53" t="s">
        <v>29</v>
      </c>
      <c r="K73" s="55" t="s">
        <v>262</v>
      </c>
      <c r="L73" s="55" t="s">
        <v>74</v>
      </c>
      <c r="M73" s="53" t="s">
        <v>32</v>
      </c>
      <c r="N73" s="24" t="s">
        <v>33</v>
      </c>
      <c r="O73" s="58" t="s">
        <v>263</v>
      </c>
      <c r="P73" s="51" t="s">
        <v>35</v>
      </c>
      <c r="Q73" s="26">
        <v>2023.0</v>
      </c>
      <c r="R73" s="27" t="s">
        <v>36</v>
      </c>
      <c r="S73" s="39" t="s">
        <v>37</v>
      </c>
      <c r="T73" s="39" t="s">
        <v>68</v>
      </c>
      <c r="U73" s="13"/>
    </row>
    <row r="74">
      <c r="A74" s="51" t="s">
        <v>264</v>
      </c>
      <c r="B74" s="35" t="s">
        <v>265</v>
      </c>
      <c r="C74" s="44" t="s">
        <v>43</v>
      </c>
      <c r="D74" s="52" t="s">
        <v>266</v>
      </c>
      <c r="E74" s="53" t="s">
        <v>24</v>
      </c>
      <c r="F74" s="53" t="s">
        <v>25</v>
      </c>
      <c r="G74" s="37" t="s">
        <v>267</v>
      </c>
      <c r="H74" s="53" t="s">
        <v>251</v>
      </c>
      <c r="I74" s="54" t="s">
        <v>28</v>
      </c>
      <c r="J74" s="53" t="s">
        <v>29</v>
      </c>
      <c r="K74" s="55" t="s">
        <v>268</v>
      </c>
      <c r="L74" s="55" t="s">
        <v>210</v>
      </c>
      <c r="M74" s="53" t="s">
        <v>32</v>
      </c>
      <c r="N74" s="24" t="s">
        <v>33</v>
      </c>
      <c r="O74" s="59" t="s">
        <v>269</v>
      </c>
      <c r="P74" s="51" t="s">
        <v>35</v>
      </c>
      <c r="Q74" s="26">
        <v>2024.0</v>
      </c>
      <c r="R74" s="27" t="s">
        <v>36</v>
      </c>
      <c r="S74" s="39" t="s">
        <v>37</v>
      </c>
      <c r="T74" s="39" t="s">
        <v>68</v>
      </c>
      <c r="U74" s="13"/>
    </row>
    <row r="75">
      <c r="A75" s="51" t="s">
        <v>270</v>
      </c>
      <c r="B75" s="35" t="s">
        <v>271</v>
      </c>
      <c r="C75" s="44" t="s">
        <v>22</v>
      </c>
      <c r="D75" s="52" t="s">
        <v>229</v>
      </c>
      <c r="E75" s="53" t="s">
        <v>24</v>
      </c>
      <c r="F75" s="54" t="s">
        <v>107</v>
      </c>
      <c r="G75" s="37" t="s">
        <v>272</v>
      </c>
      <c r="H75" s="53" t="s">
        <v>273</v>
      </c>
      <c r="I75" s="54" t="s">
        <v>184</v>
      </c>
      <c r="J75" s="53" t="s">
        <v>109</v>
      </c>
      <c r="K75" s="55" t="s">
        <v>131</v>
      </c>
      <c r="L75" s="55" t="s">
        <v>57</v>
      </c>
      <c r="M75" s="53" t="s">
        <v>32</v>
      </c>
      <c r="N75" s="52" t="s">
        <v>33</v>
      </c>
      <c r="O75" s="58" t="s">
        <v>274</v>
      </c>
      <c r="P75" s="51" t="s">
        <v>35</v>
      </c>
      <c r="Q75" s="26">
        <v>2024.0</v>
      </c>
      <c r="R75" s="27" t="s">
        <v>36</v>
      </c>
      <c r="S75" s="39" t="s">
        <v>37</v>
      </c>
      <c r="T75" s="39" t="s">
        <v>68</v>
      </c>
      <c r="U75" s="13"/>
    </row>
    <row r="76">
      <c r="A76" s="51" t="s">
        <v>275</v>
      </c>
      <c r="B76" s="35" t="s">
        <v>276</v>
      </c>
      <c r="C76" s="44" t="s">
        <v>190</v>
      </c>
      <c r="D76" s="52" t="s">
        <v>229</v>
      </c>
      <c r="E76" s="53" t="s">
        <v>62</v>
      </c>
      <c r="F76" s="54" t="s">
        <v>63</v>
      </c>
      <c r="G76" s="37" t="s">
        <v>277</v>
      </c>
      <c r="H76" s="53" t="s">
        <v>46</v>
      </c>
      <c r="I76" s="54" t="s">
        <v>184</v>
      </c>
      <c r="J76" s="53" t="s">
        <v>65</v>
      </c>
      <c r="K76" s="55" t="s">
        <v>239</v>
      </c>
      <c r="L76" s="55" t="s">
        <v>95</v>
      </c>
      <c r="M76" s="53" t="s">
        <v>218</v>
      </c>
      <c r="N76" s="52" t="s">
        <v>33</v>
      </c>
      <c r="O76" s="58" t="s">
        <v>278</v>
      </c>
      <c r="P76" s="51" t="s">
        <v>35</v>
      </c>
      <c r="Q76" s="26">
        <v>2022.0</v>
      </c>
      <c r="R76" s="27" t="s">
        <v>36</v>
      </c>
      <c r="S76" s="39" t="s">
        <v>17</v>
      </c>
      <c r="T76" s="39" t="s">
        <v>38</v>
      </c>
      <c r="U76" s="13"/>
    </row>
    <row r="77">
      <c r="A77" s="36" t="s">
        <v>279</v>
      </c>
      <c r="B77" s="35" t="s">
        <v>280</v>
      </c>
      <c r="C77" s="44" t="s">
        <v>100</v>
      </c>
      <c r="D77" s="24" t="s">
        <v>229</v>
      </c>
      <c r="E77" s="38" t="s">
        <v>115</v>
      </c>
      <c r="F77" s="38" t="s">
        <v>25</v>
      </c>
      <c r="G77" s="38" t="s">
        <v>281</v>
      </c>
      <c r="H77" s="38" t="s">
        <v>273</v>
      </c>
      <c r="I77" s="36" t="s">
        <v>47</v>
      </c>
      <c r="J77" s="38" t="s">
        <v>29</v>
      </c>
      <c r="K77" s="18" t="s">
        <v>282</v>
      </c>
      <c r="L77" s="18" t="s">
        <v>57</v>
      </c>
      <c r="M77" s="37" t="s">
        <v>102</v>
      </c>
      <c r="N77" s="24" t="s">
        <v>103</v>
      </c>
      <c r="O77" s="29" t="s">
        <v>82</v>
      </c>
      <c r="P77" s="51"/>
      <c r="Q77" s="51">
        <v>2019.0</v>
      </c>
      <c r="R77" s="10" t="s">
        <v>102</v>
      </c>
      <c r="S77" s="60" t="s">
        <v>76</v>
      </c>
      <c r="T77" s="60" t="s">
        <v>68</v>
      </c>
      <c r="U77" s="36"/>
      <c r="V77" s="51"/>
      <c r="W77" s="51"/>
      <c r="X77" s="51"/>
      <c r="Y77" s="51"/>
      <c r="Z77" s="51"/>
      <c r="AA77" s="51"/>
      <c r="AB77" s="51"/>
      <c r="AC77" s="51"/>
      <c r="AD77" s="51"/>
    </row>
    <row r="78">
      <c r="A78" s="51" t="s">
        <v>283</v>
      </c>
      <c r="B78" s="35" t="s">
        <v>284</v>
      </c>
      <c r="C78" s="44" t="s">
        <v>22</v>
      </c>
      <c r="D78" s="52" t="s">
        <v>285</v>
      </c>
      <c r="E78" s="53" t="s">
        <v>115</v>
      </c>
      <c r="F78" s="54" t="s">
        <v>192</v>
      </c>
      <c r="G78" s="37" t="s">
        <v>286</v>
      </c>
      <c r="H78" s="53" t="s">
        <v>273</v>
      </c>
      <c r="I78" s="54" t="s">
        <v>47</v>
      </c>
      <c r="J78" s="53" t="s">
        <v>194</v>
      </c>
      <c r="K78" s="55" t="s">
        <v>287</v>
      </c>
      <c r="L78" s="55" t="s">
        <v>31</v>
      </c>
      <c r="M78" s="53" t="s">
        <v>32</v>
      </c>
      <c r="N78" s="52" t="s">
        <v>33</v>
      </c>
      <c r="O78" s="58" t="s">
        <v>288</v>
      </c>
      <c r="P78" s="51"/>
      <c r="Q78" s="26">
        <v>2023.0</v>
      </c>
      <c r="R78" s="27" t="s">
        <v>36</v>
      </c>
      <c r="S78" s="39" t="s">
        <v>37</v>
      </c>
      <c r="T78" s="39" t="s">
        <v>68</v>
      </c>
      <c r="U78" s="13"/>
    </row>
    <row r="79">
      <c r="A79" s="36" t="s">
        <v>289</v>
      </c>
      <c r="B79" s="35" t="s">
        <v>290</v>
      </c>
      <c r="C79" s="44" t="s">
        <v>22</v>
      </c>
      <c r="D79" s="52" t="s">
        <v>291</v>
      </c>
      <c r="E79" s="53" t="s">
        <v>115</v>
      </c>
      <c r="F79" s="54" t="s">
        <v>236</v>
      </c>
      <c r="G79" s="37" t="s">
        <v>102</v>
      </c>
      <c r="H79" s="53" t="s">
        <v>46</v>
      </c>
      <c r="I79" s="54" t="s">
        <v>47</v>
      </c>
      <c r="J79" s="53" t="s">
        <v>109</v>
      </c>
      <c r="K79" s="55" t="s">
        <v>292</v>
      </c>
      <c r="L79" s="55" t="s">
        <v>74</v>
      </c>
      <c r="M79" s="53" t="s">
        <v>32</v>
      </c>
      <c r="N79" s="52" t="s">
        <v>33</v>
      </c>
      <c r="O79" s="27" t="s">
        <v>104</v>
      </c>
      <c r="P79" s="51" t="s">
        <v>49</v>
      </c>
      <c r="Q79" s="26">
        <v>2022.0</v>
      </c>
      <c r="R79" s="27" t="s">
        <v>36</v>
      </c>
      <c r="S79" s="39" t="s">
        <v>104</v>
      </c>
      <c r="T79" s="39" t="s">
        <v>102</v>
      </c>
      <c r="U79" s="13"/>
    </row>
    <row r="80">
      <c r="A80" s="51" t="s">
        <v>293</v>
      </c>
      <c r="B80" s="35" t="s">
        <v>294</v>
      </c>
      <c r="C80" s="44" t="s">
        <v>22</v>
      </c>
      <c r="D80" s="52" t="s">
        <v>229</v>
      </c>
      <c r="E80" s="53" t="s">
        <v>24</v>
      </c>
      <c r="F80" s="54" t="s">
        <v>54</v>
      </c>
      <c r="G80" s="37" t="s">
        <v>295</v>
      </c>
      <c r="H80" s="53" t="s">
        <v>46</v>
      </c>
      <c r="I80" s="54" t="s">
        <v>47</v>
      </c>
      <c r="J80" s="53" t="s">
        <v>29</v>
      </c>
      <c r="K80" s="55" t="s">
        <v>296</v>
      </c>
      <c r="L80" s="55" t="s">
        <v>57</v>
      </c>
      <c r="M80" s="53" t="s">
        <v>32</v>
      </c>
      <c r="N80" s="52" t="s">
        <v>33</v>
      </c>
      <c r="O80" s="27" t="s">
        <v>104</v>
      </c>
      <c r="P80" s="51" t="s">
        <v>49</v>
      </c>
      <c r="Q80" s="26">
        <v>2024.0</v>
      </c>
      <c r="R80" s="27" t="s">
        <v>36</v>
      </c>
      <c r="S80" s="39" t="s">
        <v>104</v>
      </c>
      <c r="T80" s="39" t="s">
        <v>102</v>
      </c>
      <c r="U80" s="13"/>
    </row>
    <row r="81">
      <c r="A81" s="51" t="s">
        <v>297</v>
      </c>
      <c r="B81" s="35" t="s">
        <v>298</v>
      </c>
      <c r="C81" s="44" t="s">
        <v>22</v>
      </c>
      <c r="D81" s="52" t="s">
        <v>299</v>
      </c>
      <c r="E81" s="53" t="s">
        <v>24</v>
      </c>
      <c r="F81" s="53" t="s">
        <v>25</v>
      </c>
      <c r="G81" s="37" t="s">
        <v>224</v>
      </c>
      <c r="H81" s="53" t="s">
        <v>46</v>
      </c>
      <c r="I81" s="54" t="s">
        <v>47</v>
      </c>
      <c r="J81" s="53" t="s">
        <v>29</v>
      </c>
      <c r="K81" s="55" t="s">
        <v>300</v>
      </c>
      <c r="L81" s="55" t="s">
        <v>210</v>
      </c>
      <c r="M81" s="53" t="s">
        <v>32</v>
      </c>
      <c r="N81" s="52" t="s">
        <v>33</v>
      </c>
      <c r="O81" s="59" t="s">
        <v>301</v>
      </c>
      <c r="P81" s="51" t="s">
        <v>49</v>
      </c>
      <c r="Q81" s="26">
        <v>2023.0</v>
      </c>
      <c r="R81" s="27" t="s">
        <v>36</v>
      </c>
      <c r="S81" s="39" t="s">
        <v>37</v>
      </c>
      <c r="T81" s="39" t="s">
        <v>68</v>
      </c>
      <c r="U81" s="13"/>
    </row>
    <row r="82">
      <c r="A82" s="51" t="s">
        <v>302</v>
      </c>
      <c r="B82" s="35" t="s">
        <v>303</v>
      </c>
      <c r="C82" s="44" t="s">
        <v>43</v>
      </c>
      <c r="D82" s="52" t="s">
        <v>229</v>
      </c>
      <c r="E82" s="53" t="s">
        <v>24</v>
      </c>
      <c r="F82" s="53" t="s">
        <v>25</v>
      </c>
      <c r="G82" s="37" t="s">
        <v>224</v>
      </c>
      <c r="H82" s="53" t="s">
        <v>46</v>
      </c>
      <c r="I82" s="54" t="s">
        <v>47</v>
      </c>
      <c r="J82" s="53" t="s">
        <v>29</v>
      </c>
      <c r="K82" s="55" t="s">
        <v>102</v>
      </c>
      <c r="L82" s="55" t="s">
        <v>195</v>
      </c>
      <c r="M82" s="53" t="s">
        <v>32</v>
      </c>
      <c r="N82" s="52" t="s">
        <v>33</v>
      </c>
      <c r="O82" s="58" t="s">
        <v>304</v>
      </c>
      <c r="P82" s="51" t="s">
        <v>49</v>
      </c>
      <c r="Q82" s="26">
        <v>2020.0</v>
      </c>
      <c r="R82" s="27" t="s">
        <v>36</v>
      </c>
      <c r="S82" s="39" t="s">
        <v>76</v>
      </c>
      <c r="T82" s="39" t="s">
        <v>68</v>
      </c>
      <c r="U82" s="13"/>
    </row>
    <row r="83">
      <c r="A83" s="51" t="s">
        <v>305</v>
      </c>
      <c r="B83" s="35" t="s">
        <v>306</v>
      </c>
      <c r="C83" s="44" t="s">
        <v>22</v>
      </c>
      <c r="D83" s="52" t="s">
        <v>235</v>
      </c>
      <c r="E83" s="53" t="s">
        <v>115</v>
      </c>
      <c r="F83" s="54" t="s">
        <v>236</v>
      </c>
      <c r="G83" s="37" t="s">
        <v>307</v>
      </c>
      <c r="H83" s="53" t="s">
        <v>46</v>
      </c>
      <c r="I83" s="54" t="s">
        <v>47</v>
      </c>
      <c r="J83" s="53" t="s">
        <v>109</v>
      </c>
      <c r="K83" s="55" t="s">
        <v>239</v>
      </c>
      <c r="L83" s="55" t="s">
        <v>95</v>
      </c>
      <c r="M83" s="53" t="s">
        <v>32</v>
      </c>
      <c r="N83" s="52" t="s">
        <v>33</v>
      </c>
      <c r="O83" s="58" t="s">
        <v>308</v>
      </c>
      <c r="P83" s="51" t="s">
        <v>49</v>
      </c>
      <c r="Q83" s="26">
        <v>2024.0</v>
      </c>
      <c r="R83" s="27" t="s">
        <v>36</v>
      </c>
      <c r="S83" s="39" t="s">
        <v>37</v>
      </c>
      <c r="T83" s="39" t="s">
        <v>309</v>
      </c>
      <c r="U83" s="13"/>
    </row>
    <row r="84">
      <c r="A84" s="48" t="s">
        <v>310</v>
      </c>
      <c r="B84" s="29" t="s">
        <v>311</v>
      </c>
      <c r="C84" s="44" t="s">
        <v>22</v>
      </c>
      <c r="D84" s="52" t="s">
        <v>312</v>
      </c>
      <c r="E84" s="53" t="s">
        <v>24</v>
      </c>
      <c r="F84" s="54" t="s">
        <v>54</v>
      </c>
      <c r="G84" s="37" t="s">
        <v>313</v>
      </c>
      <c r="H84" s="53" t="s">
        <v>46</v>
      </c>
      <c r="I84" s="54" t="s">
        <v>231</v>
      </c>
      <c r="J84" s="53" t="s">
        <v>29</v>
      </c>
      <c r="K84" s="55" t="s">
        <v>149</v>
      </c>
      <c r="L84" s="55" t="s">
        <v>57</v>
      </c>
      <c r="M84" s="53" t="s">
        <v>32</v>
      </c>
      <c r="N84" s="52" t="s">
        <v>33</v>
      </c>
      <c r="O84" s="58" t="s">
        <v>314</v>
      </c>
      <c r="P84" s="51" t="s">
        <v>49</v>
      </c>
      <c r="Q84" s="26">
        <v>2024.0</v>
      </c>
      <c r="R84" s="27" t="s">
        <v>36</v>
      </c>
      <c r="S84" s="39" t="s">
        <v>17</v>
      </c>
      <c r="T84" s="39" t="s">
        <v>38</v>
      </c>
      <c r="U84" s="13"/>
    </row>
    <row r="85">
      <c r="A85" s="51" t="s">
        <v>315</v>
      </c>
      <c r="B85" s="35" t="s">
        <v>316</v>
      </c>
      <c r="C85" s="44" t="s">
        <v>43</v>
      </c>
      <c r="D85" s="52" t="s">
        <v>317</v>
      </c>
      <c r="E85" s="53" t="s">
        <v>24</v>
      </c>
      <c r="F85" s="53" t="s">
        <v>25</v>
      </c>
      <c r="G85" s="37" t="s">
        <v>318</v>
      </c>
      <c r="H85" s="53" t="s">
        <v>46</v>
      </c>
      <c r="I85" s="54" t="s">
        <v>47</v>
      </c>
      <c r="J85" s="53" t="s">
        <v>29</v>
      </c>
      <c r="K85" s="55" t="s">
        <v>319</v>
      </c>
      <c r="L85" s="55" t="s">
        <v>31</v>
      </c>
      <c r="M85" s="53" t="s">
        <v>32</v>
      </c>
      <c r="N85" s="52" t="s">
        <v>33</v>
      </c>
      <c r="O85" s="58" t="s">
        <v>320</v>
      </c>
      <c r="P85" s="51" t="s">
        <v>49</v>
      </c>
      <c r="Q85" s="26">
        <v>2019.0</v>
      </c>
      <c r="R85" s="27" t="s">
        <v>36</v>
      </c>
      <c r="S85" s="39" t="s">
        <v>37</v>
      </c>
      <c r="T85" s="39" t="s">
        <v>68</v>
      </c>
      <c r="U85" s="13"/>
    </row>
    <row r="86">
      <c r="A86" s="51" t="s">
        <v>321</v>
      </c>
      <c r="B86" s="35" t="s">
        <v>322</v>
      </c>
      <c r="C86" s="44" t="s">
        <v>190</v>
      </c>
      <c r="D86" s="52" t="s">
        <v>323</v>
      </c>
      <c r="E86" s="53" t="s">
        <v>115</v>
      </c>
      <c r="F86" s="53" t="s">
        <v>25</v>
      </c>
      <c r="G86" s="37" t="s">
        <v>324</v>
      </c>
      <c r="H86" s="53" t="s">
        <v>94</v>
      </c>
      <c r="I86" s="54" t="s">
        <v>47</v>
      </c>
      <c r="J86" s="53" t="s">
        <v>29</v>
      </c>
      <c r="K86" s="55" t="s">
        <v>162</v>
      </c>
      <c r="L86" s="55" t="s">
        <v>163</v>
      </c>
      <c r="M86" s="53" t="s">
        <v>32</v>
      </c>
      <c r="N86" s="52" t="s">
        <v>33</v>
      </c>
      <c r="O86" s="58" t="s">
        <v>325</v>
      </c>
      <c r="P86" s="51" t="s">
        <v>49</v>
      </c>
      <c r="Q86" s="26">
        <v>2017.0</v>
      </c>
      <c r="R86" s="27" t="s">
        <v>36</v>
      </c>
      <c r="S86" s="39" t="s">
        <v>37</v>
      </c>
      <c r="T86" s="39" t="s">
        <v>38</v>
      </c>
      <c r="U86" s="13"/>
    </row>
    <row r="87">
      <c r="A87" s="36" t="s">
        <v>326</v>
      </c>
      <c r="B87" s="35" t="s">
        <v>327</v>
      </c>
      <c r="C87" s="44" t="s">
        <v>190</v>
      </c>
      <c r="D87" s="52" t="s">
        <v>328</v>
      </c>
      <c r="E87" s="53" t="s">
        <v>24</v>
      </c>
      <c r="F87" s="53" t="s">
        <v>329</v>
      </c>
      <c r="G87" s="37" t="s">
        <v>330</v>
      </c>
      <c r="H87" s="53" t="s">
        <v>153</v>
      </c>
      <c r="I87" s="54" t="s">
        <v>47</v>
      </c>
      <c r="J87" s="53" t="s">
        <v>331</v>
      </c>
      <c r="K87" s="55" t="s">
        <v>65</v>
      </c>
      <c r="L87" s="55" t="s">
        <v>95</v>
      </c>
      <c r="M87" s="53" t="s">
        <v>96</v>
      </c>
      <c r="N87" s="52" t="s">
        <v>33</v>
      </c>
      <c r="O87" s="58" t="s">
        <v>332</v>
      </c>
      <c r="P87" s="10" t="s">
        <v>333</v>
      </c>
      <c r="Q87" s="26">
        <v>2022.0</v>
      </c>
      <c r="R87" s="27" t="s">
        <v>36</v>
      </c>
      <c r="S87" s="39" t="s">
        <v>17</v>
      </c>
      <c r="T87" s="39" t="s">
        <v>38</v>
      </c>
      <c r="U87" s="13"/>
    </row>
    <row r="88">
      <c r="A88" s="51" t="s">
        <v>334</v>
      </c>
      <c r="B88" s="61" t="s">
        <v>335</v>
      </c>
      <c r="C88" s="44" t="s">
        <v>43</v>
      </c>
      <c r="D88" s="52" t="s">
        <v>336</v>
      </c>
      <c r="E88" s="53" t="s">
        <v>115</v>
      </c>
      <c r="F88" s="53" t="s">
        <v>337</v>
      </c>
      <c r="G88" s="37" t="s">
        <v>338</v>
      </c>
      <c r="H88" s="53" t="s">
        <v>251</v>
      </c>
      <c r="I88" s="54" t="s">
        <v>47</v>
      </c>
      <c r="J88" s="53" t="s">
        <v>29</v>
      </c>
      <c r="K88" s="55" t="s">
        <v>339</v>
      </c>
      <c r="L88" s="55" t="s">
        <v>210</v>
      </c>
      <c r="M88" s="53" t="s">
        <v>32</v>
      </c>
      <c r="N88" s="52" t="s">
        <v>33</v>
      </c>
      <c r="O88" s="27" t="s">
        <v>104</v>
      </c>
      <c r="P88" s="51" t="s">
        <v>340</v>
      </c>
      <c r="Q88" s="26">
        <v>2018.0</v>
      </c>
      <c r="R88" s="27" t="s">
        <v>36</v>
      </c>
      <c r="S88" s="39" t="s">
        <v>104</v>
      </c>
      <c r="T88" s="39" t="s">
        <v>102</v>
      </c>
      <c r="U88" s="13"/>
    </row>
    <row r="89">
      <c r="A89" s="62" t="s">
        <v>341</v>
      </c>
      <c r="B89" s="35" t="s">
        <v>342</v>
      </c>
      <c r="C89" s="44" t="s">
        <v>43</v>
      </c>
      <c r="D89" s="24" t="s">
        <v>235</v>
      </c>
      <c r="E89" s="45" t="s">
        <v>115</v>
      </c>
      <c r="F89" s="45" t="s">
        <v>236</v>
      </c>
      <c r="G89" s="45" t="s">
        <v>255</v>
      </c>
      <c r="H89" s="37" t="s">
        <v>46</v>
      </c>
      <c r="I89" s="45" t="s">
        <v>47</v>
      </c>
      <c r="J89" s="45" t="s">
        <v>109</v>
      </c>
      <c r="K89" s="20" t="s">
        <v>239</v>
      </c>
      <c r="L89" s="20" t="s">
        <v>95</v>
      </c>
      <c r="M89" s="37" t="s">
        <v>218</v>
      </c>
      <c r="N89" s="24" t="s">
        <v>33</v>
      </c>
      <c r="O89" s="27" t="s">
        <v>104</v>
      </c>
      <c r="P89" s="51" t="s">
        <v>35</v>
      </c>
      <c r="Q89" s="51">
        <v>2023.0</v>
      </c>
      <c r="R89" s="10" t="s">
        <v>36</v>
      </c>
      <c r="S89" s="60" t="s">
        <v>104</v>
      </c>
      <c r="T89" s="60" t="s">
        <v>102</v>
      </c>
      <c r="U89" s="36"/>
      <c r="V89" s="51"/>
      <c r="W89" s="51"/>
      <c r="X89" s="51"/>
      <c r="Y89" s="51"/>
      <c r="Z89" s="51"/>
      <c r="AA89" s="51"/>
      <c r="AB89" s="51"/>
      <c r="AC89" s="51"/>
      <c r="AD89" s="51"/>
    </row>
    <row r="90">
      <c r="A90" s="51" t="s">
        <v>343</v>
      </c>
      <c r="B90" s="35" t="s">
        <v>344</v>
      </c>
      <c r="C90" s="44" t="s">
        <v>43</v>
      </c>
      <c r="D90" s="52" t="s">
        <v>229</v>
      </c>
      <c r="E90" s="53" t="s">
        <v>62</v>
      </c>
      <c r="F90" s="54" t="s">
        <v>63</v>
      </c>
      <c r="G90" s="37" t="s">
        <v>148</v>
      </c>
      <c r="H90" s="53" t="s">
        <v>345</v>
      </c>
      <c r="I90" s="54" t="s">
        <v>184</v>
      </c>
      <c r="J90" s="53" t="s">
        <v>65</v>
      </c>
      <c r="K90" s="55" t="s">
        <v>102</v>
      </c>
      <c r="L90" s="55" t="s">
        <v>102</v>
      </c>
      <c r="M90" s="53" t="s">
        <v>102</v>
      </c>
      <c r="N90" s="52" t="s">
        <v>103</v>
      </c>
      <c r="O90" s="27" t="s">
        <v>104</v>
      </c>
      <c r="P90" s="51"/>
      <c r="Q90" s="26">
        <v>2023.0</v>
      </c>
      <c r="R90" s="27" t="s">
        <v>102</v>
      </c>
      <c r="S90" s="39" t="s">
        <v>104</v>
      </c>
      <c r="T90" s="39" t="s">
        <v>102</v>
      </c>
      <c r="U90" s="13"/>
    </row>
    <row r="91">
      <c r="A91" s="51" t="s">
        <v>346</v>
      </c>
      <c r="B91" s="35" t="s">
        <v>347</v>
      </c>
      <c r="C91" s="44" t="s">
        <v>22</v>
      </c>
      <c r="D91" s="52" t="s">
        <v>235</v>
      </c>
      <c r="E91" s="53" t="s">
        <v>115</v>
      </c>
      <c r="F91" s="54" t="s">
        <v>236</v>
      </c>
      <c r="G91" s="37" t="s">
        <v>307</v>
      </c>
      <c r="H91" s="53" t="s">
        <v>46</v>
      </c>
      <c r="I91" s="54" t="s">
        <v>47</v>
      </c>
      <c r="J91" s="53" t="s">
        <v>109</v>
      </c>
      <c r="K91" s="55" t="s">
        <v>348</v>
      </c>
      <c r="L91" s="55" t="s">
        <v>349</v>
      </c>
      <c r="M91" s="53" t="s">
        <v>32</v>
      </c>
      <c r="N91" s="52" t="s">
        <v>33</v>
      </c>
      <c r="O91" s="27" t="s">
        <v>104</v>
      </c>
      <c r="P91" s="51"/>
      <c r="Q91" s="26">
        <v>2023.0</v>
      </c>
      <c r="R91" s="27" t="s">
        <v>36</v>
      </c>
      <c r="S91" s="39" t="s">
        <v>104</v>
      </c>
      <c r="T91" s="39" t="s">
        <v>102</v>
      </c>
      <c r="U91" s="13"/>
    </row>
    <row r="92">
      <c r="A92" s="51" t="s">
        <v>350</v>
      </c>
      <c r="B92" s="35" t="s">
        <v>351</v>
      </c>
      <c r="C92" s="44" t="s">
        <v>190</v>
      </c>
      <c r="D92" s="52" t="s">
        <v>352</v>
      </c>
      <c r="E92" s="53" t="s">
        <v>24</v>
      </c>
      <c r="F92" s="54" t="s">
        <v>192</v>
      </c>
      <c r="G92" s="37" t="s">
        <v>353</v>
      </c>
      <c r="H92" s="53" t="s">
        <v>94</v>
      </c>
      <c r="I92" s="54" t="s">
        <v>47</v>
      </c>
      <c r="J92" s="53" t="s">
        <v>194</v>
      </c>
      <c r="K92" s="55" t="s">
        <v>65</v>
      </c>
      <c r="L92" s="55" t="s">
        <v>195</v>
      </c>
      <c r="M92" s="53" t="s">
        <v>218</v>
      </c>
      <c r="N92" s="52" t="s">
        <v>33</v>
      </c>
      <c r="O92" s="59" t="s">
        <v>354</v>
      </c>
      <c r="P92" s="51"/>
      <c r="Q92" s="26">
        <v>2024.0</v>
      </c>
      <c r="R92" s="27" t="s">
        <v>36</v>
      </c>
      <c r="S92" s="39" t="s">
        <v>17</v>
      </c>
      <c r="T92" s="39" t="s">
        <v>38</v>
      </c>
      <c r="U92" s="13"/>
    </row>
    <row r="93">
      <c r="A93" s="51" t="s">
        <v>355</v>
      </c>
      <c r="B93" s="35" t="s">
        <v>356</v>
      </c>
      <c r="C93" s="44" t="s">
        <v>190</v>
      </c>
      <c r="D93" s="52" t="s">
        <v>229</v>
      </c>
      <c r="E93" s="53" t="s">
        <v>115</v>
      </c>
      <c r="F93" s="53" t="s">
        <v>357</v>
      </c>
      <c r="G93" s="37" t="s">
        <v>148</v>
      </c>
      <c r="H93" s="53" t="s">
        <v>94</v>
      </c>
      <c r="I93" s="54" t="s">
        <v>47</v>
      </c>
      <c r="J93" s="53" t="s">
        <v>358</v>
      </c>
      <c r="K93" s="55" t="s">
        <v>65</v>
      </c>
      <c r="L93" s="55" t="s">
        <v>195</v>
      </c>
      <c r="M93" s="53" t="s">
        <v>218</v>
      </c>
      <c r="N93" s="52" t="s">
        <v>33</v>
      </c>
      <c r="O93" s="27" t="s">
        <v>104</v>
      </c>
      <c r="P93" s="51"/>
      <c r="Q93" s="26">
        <v>2024.0</v>
      </c>
      <c r="R93" s="27" t="s">
        <v>359</v>
      </c>
      <c r="S93" s="39" t="s">
        <v>104</v>
      </c>
      <c r="T93" s="39" t="s">
        <v>102</v>
      </c>
      <c r="U93" s="13"/>
    </row>
    <row r="94">
      <c r="A94" s="36" t="s">
        <v>360</v>
      </c>
      <c r="B94" s="35" t="s">
        <v>361</v>
      </c>
      <c r="C94" s="44" t="s">
        <v>190</v>
      </c>
      <c r="D94" s="52" t="s">
        <v>229</v>
      </c>
      <c r="E94" s="53" t="s">
        <v>24</v>
      </c>
      <c r="F94" s="53" t="s">
        <v>329</v>
      </c>
      <c r="G94" s="37" t="s">
        <v>362</v>
      </c>
      <c r="H94" s="53" t="s">
        <v>46</v>
      </c>
      <c r="I94" s="54" t="s">
        <v>47</v>
      </c>
      <c r="J94" s="53" t="s">
        <v>331</v>
      </c>
      <c r="K94" s="55" t="s">
        <v>56</v>
      </c>
      <c r="L94" s="55" t="s">
        <v>57</v>
      </c>
      <c r="M94" s="53" t="s">
        <v>32</v>
      </c>
      <c r="N94" s="52" t="s">
        <v>33</v>
      </c>
      <c r="O94" s="58" t="s">
        <v>363</v>
      </c>
      <c r="P94" s="51"/>
      <c r="Q94" s="26">
        <v>2023.0</v>
      </c>
      <c r="R94" s="27" t="s">
        <v>36</v>
      </c>
      <c r="S94" s="39" t="s">
        <v>37</v>
      </c>
      <c r="T94" s="39" t="s">
        <v>68</v>
      </c>
      <c r="U94" s="13"/>
    </row>
    <row r="95">
      <c r="A95" s="36" t="s">
        <v>364</v>
      </c>
      <c r="B95" s="35" t="s">
        <v>365</v>
      </c>
      <c r="C95" s="44" t="s">
        <v>190</v>
      </c>
      <c r="D95" s="52" t="s">
        <v>229</v>
      </c>
      <c r="E95" s="53" t="s">
        <v>24</v>
      </c>
      <c r="F95" s="53" t="s">
        <v>329</v>
      </c>
      <c r="G95" s="37" t="s">
        <v>366</v>
      </c>
      <c r="H95" s="53" t="s">
        <v>46</v>
      </c>
      <c r="I95" s="54" t="s">
        <v>47</v>
      </c>
      <c r="J95" s="53" t="s">
        <v>331</v>
      </c>
      <c r="K95" s="55" t="s">
        <v>102</v>
      </c>
      <c r="L95" s="55" t="s">
        <v>102</v>
      </c>
      <c r="M95" s="53" t="s">
        <v>102</v>
      </c>
      <c r="N95" s="52" t="s">
        <v>103</v>
      </c>
      <c r="O95" s="27" t="s">
        <v>104</v>
      </c>
      <c r="P95" s="10" t="s">
        <v>35</v>
      </c>
      <c r="Q95" s="26">
        <v>2022.0</v>
      </c>
      <c r="R95" s="27" t="s">
        <v>102</v>
      </c>
      <c r="S95" s="39" t="s">
        <v>104</v>
      </c>
      <c r="T95" s="39" t="s">
        <v>102</v>
      </c>
      <c r="U95" s="13"/>
    </row>
    <row r="96">
      <c r="A96" s="51" t="s">
        <v>367</v>
      </c>
      <c r="B96" s="35" t="s">
        <v>368</v>
      </c>
      <c r="C96" s="44" t="s">
        <v>100</v>
      </c>
      <c r="D96" s="52" t="s">
        <v>369</v>
      </c>
      <c r="E96" s="53" t="s">
        <v>24</v>
      </c>
      <c r="F96" s="54" t="s">
        <v>54</v>
      </c>
      <c r="G96" s="37" t="s">
        <v>370</v>
      </c>
      <c r="H96" s="53" t="s">
        <v>46</v>
      </c>
      <c r="I96" s="54" t="s">
        <v>47</v>
      </c>
      <c r="J96" s="53" t="s">
        <v>29</v>
      </c>
      <c r="K96" s="55" t="s">
        <v>65</v>
      </c>
      <c r="L96" s="55" t="s">
        <v>195</v>
      </c>
      <c r="M96" s="53" t="s">
        <v>32</v>
      </c>
      <c r="N96" s="52" t="s">
        <v>33</v>
      </c>
      <c r="O96" s="58" t="s">
        <v>371</v>
      </c>
      <c r="P96" s="10" t="s">
        <v>372</v>
      </c>
      <c r="Q96" s="26">
        <v>2020.0</v>
      </c>
      <c r="R96" s="27" t="s">
        <v>36</v>
      </c>
      <c r="S96" s="39" t="s">
        <v>17</v>
      </c>
      <c r="T96" s="39" t="s">
        <v>38</v>
      </c>
      <c r="U96" s="13"/>
    </row>
    <row r="97">
      <c r="A97" s="36" t="s">
        <v>373</v>
      </c>
      <c r="B97" s="35" t="s">
        <v>374</v>
      </c>
      <c r="C97" s="44" t="s">
        <v>190</v>
      </c>
      <c r="D97" s="52" t="s">
        <v>229</v>
      </c>
      <c r="E97" s="53" t="s">
        <v>24</v>
      </c>
      <c r="F97" s="53" t="s">
        <v>25</v>
      </c>
      <c r="G97" s="37" t="s">
        <v>375</v>
      </c>
      <c r="H97" s="53" t="s">
        <v>46</v>
      </c>
      <c r="I97" s="54" t="s">
        <v>184</v>
      </c>
      <c r="J97" s="53" t="s">
        <v>29</v>
      </c>
      <c r="K97" s="55" t="s">
        <v>376</v>
      </c>
      <c r="L97" s="55" t="s">
        <v>377</v>
      </c>
      <c r="M97" s="53" t="s">
        <v>32</v>
      </c>
      <c r="N97" s="52" t="s">
        <v>33</v>
      </c>
      <c r="O97" s="58" t="s">
        <v>378</v>
      </c>
      <c r="P97" s="10" t="s">
        <v>35</v>
      </c>
      <c r="Q97" s="26">
        <v>2018.0</v>
      </c>
      <c r="R97" s="27" t="s">
        <v>36</v>
      </c>
      <c r="S97" s="39" t="s">
        <v>76</v>
      </c>
      <c r="T97" s="39" t="s">
        <v>38</v>
      </c>
      <c r="U97" s="13"/>
    </row>
    <row r="98">
      <c r="A98" s="51" t="s">
        <v>379</v>
      </c>
      <c r="B98" s="35" t="s">
        <v>380</v>
      </c>
      <c r="C98" s="44" t="s">
        <v>121</v>
      </c>
      <c r="D98" s="52" t="s">
        <v>381</v>
      </c>
      <c r="E98" s="53" t="s">
        <v>24</v>
      </c>
      <c r="F98" s="53" t="s">
        <v>329</v>
      </c>
      <c r="G98" s="37" t="s">
        <v>382</v>
      </c>
      <c r="H98" s="53" t="s">
        <v>46</v>
      </c>
      <c r="I98" s="54" t="s">
        <v>47</v>
      </c>
      <c r="J98" s="53" t="s">
        <v>331</v>
      </c>
      <c r="K98" s="55" t="s">
        <v>383</v>
      </c>
      <c r="L98" s="55" t="s">
        <v>246</v>
      </c>
      <c r="M98" s="53" t="s">
        <v>32</v>
      </c>
      <c r="N98" s="52" t="s">
        <v>33</v>
      </c>
      <c r="O98" s="58" t="s">
        <v>384</v>
      </c>
      <c r="P98" s="51"/>
      <c r="Q98" s="26">
        <v>2024.0</v>
      </c>
      <c r="R98" s="27" t="s">
        <v>36</v>
      </c>
      <c r="S98" s="39" t="s">
        <v>37</v>
      </c>
      <c r="T98" s="39" t="s">
        <v>111</v>
      </c>
      <c r="U98" s="13"/>
    </row>
    <row r="99">
      <c r="A99" s="51" t="s">
        <v>385</v>
      </c>
      <c r="B99" s="35" t="s">
        <v>386</v>
      </c>
      <c r="C99" s="44" t="s">
        <v>190</v>
      </c>
      <c r="D99" s="52" t="s">
        <v>229</v>
      </c>
      <c r="E99" s="53" t="s">
        <v>24</v>
      </c>
      <c r="F99" s="53" t="s">
        <v>329</v>
      </c>
      <c r="G99" s="37" t="s">
        <v>387</v>
      </c>
      <c r="H99" s="53" t="s">
        <v>94</v>
      </c>
      <c r="I99" s="54" t="s">
        <v>231</v>
      </c>
      <c r="J99" s="53" t="s">
        <v>331</v>
      </c>
      <c r="K99" s="55" t="s">
        <v>388</v>
      </c>
      <c r="L99" s="55" t="s">
        <v>389</v>
      </c>
      <c r="M99" s="53" t="s">
        <v>102</v>
      </c>
      <c r="N99" s="52" t="s">
        <v>103</v>
      </c>
      <c r="O99" s="58" t="s">
        <v>390</v>
      </c>
      <c r="P99" s="51"/>
      <c r="Q99" s="26">
        <v>2023.0</v>
      </c>
      <c r="R99" s="27" t="s">
        <v>102</v>
      </c>
      <c r="S99" s="39" t="s">
        <v>37</v>
      </c>
      <c r="T99" s="39" t="s">
        <v>111</v>
      </c>
      <c r="U99" s="13"/>
    </row>
    <row r="100">
      <c r="A100" s="51" t="s">
        <v>391</v>
      </c>
      <c r="B100" s="35" t="s">
        <v>392</v>
      </c>
      <c r="C100" s="44" t="s">
        <v>190</v>
      </c>
      <c r="D100" s="52" t="s">
        <v>393</v>
      </c>
      <c r="E100" s="53" t="s">
        <v>62</v>
      </c>
      <c r="F100" s="53" t="s">
        <v>394</v>
      </c>
      <c r="G100" s="37" t="s">
        <v>395</v>
      </c>
      <c r="H100" s="53" t="s">
        <v>27</v>
      </c>
      <c r="I100" s="54" t="s">
        <v>396</v>
      </c>
      <c r="J100" s="53" t="s">
        <v>397</v>
      </c>
      <c r="K100" s="55" t="s">
        <v>398</v>
      </c>
      <c r="L100" s="55" t="s">
        <v>246</v>
      </c>
      <c r="M100" s="53" t="s">
        <v>32</v>
      </c>
      <c r="N100" s="52" t="s">
        <v>33</v>
      </c>
      <c r="O100" s="58" t="s">
        <v>399</v>
      </c>
      <c r="P100" s="51"/>
      <c r="Q100" s="26">
        <v>2023.0</v>
      </c>
      <c r="R100" s="27" t="s">
        <v>36</v>
      </c>
      <c r="S100" s="39" t="s">
        <v>37</v>
      </c>
      <c r="T100" s="39" t="s">
        <v>111</v>
      </c>
      <c r="U100" s="13"/>
    </row>
    <row r="101">
      <c r="A101" s="51" t="s">
        <v>400</v>
      </c>
      <c r="B101" s="35" t="s">
        <v>401</v>
      </c>
      <c r="C101" s="44" t="s">
        <v>43</v>
      </c>
      <c r="D101" s="52"/>
      <c r="E101" s="53" t="s">
        <v>24</v>
      </c>
      <c r="F101" s="54" t="s">
        <v>107</v>
      </c>
      <c r="G101" s="37" t="s">
        <v>402</v>
      </c>
      <c r="H101" s="53" t="s">
        <v>46</v>
      </c>
      <c r="I101" s="54" t="s">
        <v>47</v>
      </c>
      <c r="J101" s="53" t="s">
        <v>109</v>
      </c>
      <c r="K101" s="55" t="s">
        <v>403</v>
      </c>
      <c r="L101" s="55" t="s">
        <v>210</v>
      </c>
      <c r="M101" s="53" t="s">
        <v>32</v>
      </c>
      <c r="N101" s="52" t="s">
        <v>33</v>
      </c>
      <c r="O101" s="27" t="s">
        <v>104</v>
      </c>
      <c r="P101" s="10" t="s">
        <v>404</v>
      </c>
      <c r="Q101" s="26">
        <v>2023.0</v>
      </c>
      <c r="R101" s="27" t="s">
        <v>36</v>
      </c>
      <c r="S101" s="39" t="s">
        <v>104</v>
      </c>
      <c r="T101" s="39" t="s">
        <v>102</v>
      </c>
      <c r="U101" s="13"/>
    </row>
    <row r="102">
      <c r="A102" s="51" t="s">
        <v>405</v>
      </c>
      <c r="B102" s="29" t="s">
        <v>406</v>
      </c>
      <c r="C102" s="44" t="s">
        <v>22</v>
      </c>
      <c r="D102" s="52" t="s">
        <v>229</v>
      </c>
      <c r="E102" s="53" t="s">
        <v>115</v>
      </c>
      <c r="F102" s="53" t="s">
        <v>407</v>
      </c>
      <c r="G102" s="37" t="s">
        <v>408</v>
      </c>
      <c r="H102" s="53" t="s">
        <v>46</v>
      </c>
      <c r="I102" s="54" t="s">
        <v>184</v>
      </c>
      <c r="J102" s="53" t="s">
        <v>29</v>
      </c>
      <c r="K102" s="63"/>
      <c r="L102" s="55" t="s">
        <v>409</v>
      </c>
      <c r="M102" s="53" t="s">
        <v>32</v>
      </c>
      <c r="N102" s="52" t="s">
        <v>33</v>
      </c>
      <c r="O102" s="58" t="s">
        <v>410</v>
      </c>
      <c r="P102" s="51"/>
      <c r="Q102" s="26">
        <v>2015.0</v>
      </c>
      <c r="R102" s="27" t="s">
        <v>36</v>
      </c>
      <c r="S102" s="39" t="s">
        <v>76</v>
      </c>
      <c r="T102" s="39" t="s">
        <v>38</v>
      </c>
      <c r="U102" s="13"/>
    </row>
    <row r="103">
      <c r="A103" s="51" t="s">
        <v>411</v>
      </c>
      <c r="B103" s="35" t="s">
        <v>412</v>
      </c>
      <c r="C103" s="44" t="s">
        <v>43</v>
      </c>
      <c r="D103" s="52" t="s">
        <v>229</v>
      </c>
      <c r="E103" s="53" t="s">
        <v>24</v>
      </c>
      <c r="F103" s="54" t="s">
        <v>182</v>
      </c>
      <c r="G103" s="37" t="s">
        <v>148</v>
      </c>
      <c r="H103" s="53" t="s">
        <v>46</v>
      </c>
      <c r="I103" s="54" t="s">
        <v>47</v>
      </c>
      <c r="J103" s="53" t="s">
        <v>109</v>
      </c>
      <c r="K103" s="55" t="s">
        <v>149</v>
      </c>
      <c r="L103" s="55" t="s">
        <v>57</v>
      </c>
      <c r="M103" s="53" t="s">
        <v>32</v>
      </c>
      <c r="N103" s="52" t="s">
        <v>33</v>
      </c>
      <c r="O103" s="27" t="s">
        <v>104</v>
      </c>
      <c r="P103" s="51"/>
      <c r="Q103" s="26">
        <v>2025.0</v>
      </c>
      <c r="R103" s="27" t="s">
        <v>36</v>
      </c>
      <c r="S103" s="39" t="s">
        <v>104</v>
      </c>
      <c r="T103" s="39" t="s">
        <v>102</v>
      </c>
      <c r="U103" s="13"/>
    </row>
    <row r="104">
      <c r="A104" s="51" t="s">
        <v>413</v>
      </c>
      <c r="B104" s="35" t="s">
        <v>414</v>
      </c>
      <c r="C104" s="44" t="s">
        <v>206</v>
      </c>
      <c r="D104" s="52" t="s">
        <v>229</v>
      </c>
      <c r="E104" s="53" t="s">
        <v>24</v>
      </c>
      <c r="F104" s="54" t="s">
        <v>107</v>
      </c>
      <c r="G104" s="37" t="s">
        <v>148</v>
      </c>
      <c r="H104" s="53" t="s">
        <v>46</v>
      </c>
      <c r="I104" s="54" t="s">
        <v>184</v>
      </c>
      <c r="J104" s="53" t="s">
        <v>109</v>
      </c>
      <c r="K104" s="63"/>
      <c r="L104" s="55" t="s">
        <v>195</v>
      </c>
      <c r="M104" s="53" t="s">
        <v>32</v>
      </c>
      <c r="N104" s="52" t="s">
        <v>33</v>
      </c>
      <c r="O104" s="58" t="s">
        <v>415</v>
      </c>
      <c r="P104" s="51"/>
      <c r="Q104" s="26">
        <v>2025.0</v>
      </c>
      <c r="R104" s="27" t="s">
        <v>36</v>
      </c>
      <c r="S104" s="39" t="s">
        <v>37</v>
      </c>
      <c r="T104" s="39" t="s">
        <v>38</v>
      </c>
      <c r="U104" s="13"/>
    </row>
    <row r="105">
      <c r="A105" s="51" t="s">
        <v>416</v>
      </c>
      <c r="B105" s="35" t="s">
        <v>417</v>
      </c>
      <c r="C105" s="44" t="s">
        <v>418</v>
      </c>
      <c r="D105" s="52" t="s">
        <v>419</v>
      </c>
      <c r="E105" s="53" t="s">
        <v>24</v>
      </c>
      <c r="F105" s="54" t="s">
        <v>420</v>
      </c>
      <c r="G105" s="37" t="s">
        <v>267</v>
      </c>
      <c r="H105" s="53" t="s">
        <v>46</v>
      </c>
      <c r="I105" s="54" t="s">
        <v>47</v>
      </c>
      <c r="J105" s="53" t="s">
        <v>65</v>
      </c>
      <c r="K105" s="63"/>
      <c r="L105" s="55" t="s">
        <v>155</v>
      </c>
      <c r="M105" s="53" t="s">
        <v>32</v>
      </c>
      <c r="N105" s="52" t="s">
        <v>33</v>
      </c>
      <c r="O105" s="58" t="s">
        <v>421</v>
      </c>
      <c r="P105" s="51"/>
      <c r="Q105" s="26">
        <v>2024.0</v>
      </c>
      <c r="R105" s="27" t="s">
        <v>36</v>
      </c>
      <c r="S105" s="39" t="s">
        <v>37</v>
      </c>
      <c r="T105" s="39" t="s">
        <v>38</v>
      </c>
      <c r="U105" s="13"/>
    </row>
    <row r="106">
      <c r="B106" s="51"/>
      <c r="C106" s="62"/>
      <c r="D106" s="13"/>
      <c r="E106" s="64"/>
      <c r="F106" s="64"/>
      <c r="G106" s="38"/>
      <c r="H106" s="64"/>
      <c r="I106" s="13"/>
      <c r="J106" s="64"/>
      <c r="K106" s="63"/>
      <c r="L106" s="63"/>
      <c r="M106" s="64"/>
      <c r="N106" s="13"/>
      <c r="Q106" s="26" t="s">
        <v>422</v>
      </c>
      <c r="R106" s="26"/>
      <c r="S106" s="65"/>
      <c r="T106" s="65"/>
      <c r="U106" s="13"/>
    </row>
    <row r="107">
      <c r="B107" s="51"/>
      <c r="C107" s="62"/>
      <c r="D107" s="13"/>
      <c r="E107" s="64"/>
      <c r="F107" s="64"/>
      <c r="G107" s="38"/>
      <c r="H107" s="64"/>
      <c r="I107" s="13"/>
      <c r="J107" s="64"/>
      <c r="K107" s="63"/>
      <c r="L107" s="63"/>
      <c r="M107" s="64"/>
      <c r="N107" s="13"/>
      <c r="Q107" s="26" t="s">
        <v>422</v>
      </c>
      <c r="R107" s="26"/>
      <c r="S107" s="65"/>
      <c r="T107" s="65"/>
      <c r="U107" s="13"/>
    </row>
    <row r="108">
      <c r="B108" s="51"/>
      <c r="C108" s="62"/>
      <c r="D108" s="13"/>
      <c r="E108" s="64"/>
      <c r="F108" s="64"/>
      <c r="G108" s="38"/>
      <c r="H108" s="64"/>
      <c r="I108" s="13"/>
      <c r="J108" s="64"/>
      <c r="K108" s="63"/>
      <c r="L108" s="63"/>
      <c r="M108" s="64"/>
      <c r="N108" s="13"/>
      <c r="Q108" s="26" t="s">
        <v>422</v>
      </c>
      <c r="R108" s="26"/>
      <c r="S108" s="65"/>
      <c r="T108" s="65"/>
      <c r="U108" s="13"/>
    </row>
    <row r="109">
      <c r="B109" s="51"/>
      <c r="C109" s="62"/>
      <c r="D109" s="13"/>
      <c r="E109" s="64"/>
      <c r="F109" s="64"/>
      <c r="G109" s="38"/>
      <c r="H109" s="64"/>
      <c r="I109" s="13"/>
      <c r="J109" s="64"/>
      <c r="K109" s="63"/>
      <c r="L109" s="63"/>
      <c r="M109" s="64"/>
      <c r="N109" s="13"/>
      <c r="Q109" s="26" t="s">
        <v>422</v>
      </c>
      <c r="R109" s="26"/>
      <c r="S109" s="65"/>
      <c r="T109" s="65"/>
      <c r="U109" s="13"/>
    </row>
    <row r="110">
      <c r="B110" s="51"/>
      <c r="C110" s="62"/>
      <c r="D110" s="13"/>
      <c r="E110" s="64"/>
      <c r="F110" s="64"/>
      <c r="G110" s="38"/>
      <c r="H110" s="64"/>
      <c r="I110" s="13"/>
      <c r="J110" s="64"/>
      <c r="K110" s="63"/>
      <c r="L110" s="63"/>
      <c r="M110" s="64"/>
      <c r="N110" s="13"/>
      <c r="Q110" s="26" t="s">
        <v>422</v>
      </c>
      <c r="R110" s="26"/>
      <c r="S110" s="65"/>
      <c r="T110" s="65"/>
      <c r="U110" s="13"/>
    </row>
    <row r="111">
      <c r="B111" s="51"/>
      <c r="C111" s="62"/>
      <c r="D111" s="13"/>
      <c r="E111" s="64"/>
      <c r="F111" s="64"/>
      <c r="G111" s="38"/>
      <c r="H111" s="64"/>
      <c r="I111" s="13"/>
      <c r="J111" s="64"/>
      <c r="K111" s="63"/>
      <c r="L111" s="63"/>
      <c r="M111" s="64"/>
      <c r="N111" s="13"/>
      <c r="Q111" s="26" t="s">
        <v>422</v>
      </c>
      <c r="R111" s="26"/>
      <c r="S111" s="65"/>
      <c r="T111" s="65"/>
      <c r="U111" s="13"/>
    </row>
    <row r="112">
      <c r="B112" s="51"/>
      <c r="C112" s="62"/>
      <c r="D112" s="13"/>
      <c r="E112" s="64"/>
      <c r="F112" s="64"/>
      <c r="G112" s="38"/>
      <c r="H112" s="64"/>
      <c r="I112" s="13"/>
      <c r="J112" s="64"/>
      <c r="K112" s="63"/>
      <c r="L112" s="63"/>
      <c r="M112" s="64"/>
      <c r="N112" s="13"/>
      <c r="Q112" s="26" t="s">
        <v>422</v>
      </c>
      <c r="R112" s="26"/>
      <c r="S112" s="65"/>
      <c r="T112" s="65"/>
      <c r="U112" s="13"/>
    </row>
    <row r="113">
      <c r="B113" s="51"/>
      <c r="C113" s="62"/>
      <c r="D113" s="13"/>
      <c r="E113" s="64"/>
      <c r="F113" s="64"/>
      <c r="G113" s="38"/>
      <c r="H113" s="64"/>
      <c r="I113" s="13"/>
      <c r="J113" s="64"/>
      <c r="K113" s="63"/>
      <c r="L113" s="63"/>
      <c r="M113" s="64"/>
      <c r="N113" s="13"/>
      <c r="Q113" s="26" t="s">
        <v>422</v>
      </c>
      <c r="R113" s="26"/>
      <c r="S113" s="65"/>
      <c r="T113" s="65"/>
      <c r="U113" s="13"/>
    </row>
    <row r="114">
      <c r="B114" s="51"/>
      <c r="C114" s="62"/>
      <c r="D114" s="13"/>
      <c r="E114" s="64"/>
      <c r="F114" s="64"/>
      <c r="G114" s="38"/>
      <c r="H114" s="64"/>
      <c r="I114" s="13"/>
      <c r="J114" s="64"/>
      <c r="K114" s="63"/>
      <c r="L114" s="63"/>
      <c r="M114" s="64"/>
      <c r="N114" s="13"/>
      <c r="Q114" s="26" t="s">
        <v>422</v>
      </c>
      <c r="R114" s="26"/>
      <c r="S114" s="65"/>
      <c r="T114" s="65"/>
      <c r="U114" s="13"/>
    </row>
    <row r="115">
      <c r="B115" s="51"/>
      <c r="C115" s="62"/>
      <c r="D115" s="13"/>
      <c r="E115" s="64"/>
      <c r="F115" s="64"/>
      <c r="G115" s="38"/>
      <c r="H115" s="64"/>
      <c r="I115" s="13"/>
      <c r="J115" s="64"/>
      <c r="K115" s="63"/>
      <c r="L115" s="63"/>
      <c r="M115" s="64"/>
      <c r="N115" s="13"/>
      <c r="Q115" s="26" t="s">
        <v>422</v>
      </c>
      <c r="R115" s="26"/>
      <c r="S115" s="65"/>
      <c r="T115" s="65"/>
      <c r="U115" s="13"/>
    </row>
    <row r="116">
      <c r="B116" s="51"/>
      <c r="C116" s="62"/>
      <c r="D116" s="13"/>
      <c r="E116" s="64"/>
      <c r="F116" s="64"/>
      <c r="G116" s="38"/>
      <c r="H116" s="64"/>
      <c r="I116" s="13"/>
      <c r="J116" s="64"/>
      <c r="K116" s="63"/>
      <c r="L116" s="63"/>
      <c r="M116" s="64"/>
      <c r="N116" s="13"/>
      <c r="Q116" s="26" t="s">
        <v>422</v>
      </c>
      <c r="R116" s="26"/>
      <c r="S116" s="65"/>
      <c r="T116" s="65"/>
      <c r="U116" s="13"/>
    </row>
    <row r="117">
      <c r="B117" s="51"/>
      <c r="C117" s="62"/>
      <c r="D117" s="13"/>
      <c r="E117" s="64"/>
      <c r="F117" s="64"/>
      <c r="G117" s="38"/>
      <c r="H117" s="64"/>
      <c r="I117" s="13"/>
      <c r="J117" s="64"/>
      <c r="K117" s="63"/>
      <c r="L117" s="63"/>
      <c r="M117" s="64"/>
      <c r="N117" s="13"/>
      <c r="Q117" s="26" t="s">
        <v>422</v>
      </c>
      <c r="R117" s="26"/>
      <c r="S117" s="65"/>
      <c r="T117" s="65"/>
      <c r="U117" s="13"/>
    </row>
    <row r="118">
      <c r="B118" s="51"/>
      <c r="C118" s="62"/>
      <c r="D118" s="13"/>
      <c r="E118" s="64"/>
      <c r="F118" s="64"/>
      <c r="G118" s="38"/>
      <c r="H118" s="64"/>
      <c r="I118" s="13"/>
      <c r="J118" s="64"/>
      <c r="K118" s="63"/>
      <c r="L118" s="63"/>
      <c r="M118" s="64"/>
      <c r="N118" s="13"/>
      <c r="Q118" s="26" t="s">
        <v>422</v>
      </c>
      <c r="R118" s="26"/>
      <c r="S118" s="65"/>
      <c r="T118" s="65"/>
      <c r="U118" s="13"/>
    </row>
    <row r="119">
      <c r="B119" s="51"/>
      <c r="C119" s="62"/>
      <c r="D119" s="13"/>
      <c r="E119" s="64"/>
      <c r="F119" s="64"/>
      <c r="G119" s="38"/>
      <c r="H119" s="64"/>
      <c r="I119" s="13"/>
      <c r="J119" s="64"/>
      <c r="K119" s="63"/>
      <c r="L119" s="63"/>
      <c r="M119" s="64"/>
      <c r="N119" s="13"/>
      <c r="Q119" s="26" t="s">
        <v>422</v>
      </c>
      <c r="R119" s="26"/>
      <c r="S119" s="65"/>
      <c r="T119" s="65"/>
      <c r="U119" s="13"/>
    </row>
    <row r="120">
      <c r="B120" s="51"/>
      <c r="C120" s="62"/>
      <c r="D120" s="13"/>
      <c r="E120" s="64"/>
      <c r="F120" s="64"/>
      <c r="G120" s="38"/>
      <c r="H120" s="64"/>
      <c r="I120" s="13"/>
      <c r="J120" s="64"/>
      <c r="K120" s="63"/>
      <c r="L120" s="63"/>
      <c r="M120" s="64"/>
      <c r="N120" s="13"/>
      <c r="Q120" s="26" t="s">
        <v>422</v>
      </c>
      <c r="R120" s="26"/>
      <c r="S120" s="65"/>
      <c r="T120" s="65"/>
      <c r="U120" s="13"/>
    </row>
    <row r="121">
      <c r="B121" s="51"/>
      <c r="C121" s="62"/>
      <c r="D121" s="13"/>
      <c r="E121" s="64"/>
      <c r="F121" s="64"/>
      <c r="G121" s="38"/>
      <c r="H121" s="64"/>
      <c r="I121" s="13"/>
      <c r="J121" s="64"/>
      <c r="K121" s="63"/>
      <c r="L121" s="63"/>
      <c r="M121" s="64"/>
      <c r="N121" s="13"/>
      <c r="Q121" s="26" t="s">
        <v>422</v>
      </c>
      <c r="R121" s="26"/>
      <c r="S121" s="65"/>
      <c r="T121" s="65"/>
      <c r="U121" s="13"/>
    </row>
    <row r="122">
      <c r="B122" s="51"/>
      <c r="C122" s="62"/>
      <c r="D122" s="13"/>
      <c r="E122" s="64"/>
      <c r="F122" s="64"/>
      <c r="G122" s="38"/>
      <c r="H122" s="64"/>
      <c r="I122" s="13"/>
      <c r="J122" s="64"/>
      <c r="K122" s="63"/>
      <c r="L122" s="63"/>
      <c r="M122" s="64"/>
      <c r="N122" s="13"/>
      <c r="Q122" s="26" t="s">
        <v>422</v>
      </c>
      <c r="R122" s="26"/>
      <c r="S122" s="65"/>
      <c r="T122" s="65"/>
      <c r="U122" s="13"/>
    </row>
    <row r="123">
      <c r="B123" s="51"/>
      <c r="C123" s="62"/>
      <c r="D123" s="13"/>
      <c r="E123" s="64"/>
      <c r="F123" s="64"/>
      <c r="G123" s="38"/>
      <c r="H123" s="64"/>
      <c r="I123" s="13"/>
      <c r="J123" s="64"/>
      <c r="K123" s="63"/>
      <c r="L123" s="63"/>
      <c r="M123" s="64"/>
      <c r="N123" s="13"/>
      <c r="Q123" s="26" t="s">
        <v>422</v>
      </c>
      <c r="R123" s="26"/>
      <c r="S123" s="65"/>
      <c r="T123" s="65"/>
      <c r="U123" s="13"/>
    </row>
    <row r="124">
      <c r="B124" s="51"/>
      <c r="C124" s="62"/>
      <c r="D124" s="13"/>
      <c r="E124" s="64"/>
      <c r="F124" s="64"/>
      <c r="G124" s="38"/>
      <c r="H124" s="64"/>
      <c r="I124" s="13"/>
      <c r="J124" s="64"/>
      <c r="K124" s="63"/>
      <c r="L124" s="63"/>
      <c r="M124" s="64"/>
      <c r="N124" s="13"/>
      <c r="Q124" s="26" t="s">
        <v>422</v>
      </c>
      <c r="R124" s="26"/>
      <c r="S124" s="65"/>
      <c r="T124" s="65"/>
      <c r="U124" s="13"/>
    </row>
    <row r="125">
      <c r="B125" s="51"/>
      <c r="C125" s="62"/>
      <c r="D125" s="13"/>
      <c r="E125" s="64"/>
      <c r="F125" s="64"/>
      <c r="G125" s="38"/>
      <c r="H125" s="64"/>
      <c r="I125" s="13"/>
      <c r="J125" s="64"/>
      <c r="K125" s="63"/>
      <c r="L125" s="63"/>
      <c r="M125" s="64"/>
      <c r="N125" s="13"/>
      <c r="Q125" s="26" t="s">
        <v>422</v>
      </c>
      <c r="R125" s="26"/>
      <c r="S125" s="65"/>
      <c r="T125" s="65"/>
      <c r="U125" s="13"/>
    </row>
    <row r="126">
      <c r="B126" s="51"/>
      <c r="C126" s="62"/>
      <c r="D126" s="13"/>
      <c r="E126" s="64"/>
      <c r="F126" s="64"/>
      <c r="G126" s="38"/>
      <c r="H126" s="64"/>
      <c r="I126" s="13"/>
      <c r="J126" s="64"/>
      <c r="K126" s="63"/>
      <c r="L126" s="63"/>
      <c r="M126" s="64"/>
      <c r="N126" s="13"/>
      <c r="Q126" s="26" t="s">
        <v>422</v>
      </c>
      <c r="R126" s="26"/>
      <c r="S126" s="65"/>
      <c r="T126" s="65"/>
      <c r="U126" s="13"/>
    </row>
    <row r="127">
      <c r="B127" s="51"/>
      <c r="C127" s="62"/>
      <c r="D127" s="13"/>
      <c r="E127" s="64"/>
      <c r="F127" s="64"/>
      <c r="G127" s="38"/>
      <c r="H127" s="64"/>
      <c r="I127" s="13"/>
      <c r="J127" s="64"/>
      <c r="K127" s="63"/>
      <c r="L127" s="63"/>
      <c r="M127" s="64"/>
      <c r="N127" s="13"/>
      <c r="Q127" s="26" t="s">
        <v>422</v>
      </c>
      <c r="R127" s="26"/>
      <c r="S127" s="65"/>
      <c r="T127" s="65"/>
      <c r="U127" s="13"/>
    </row>
    <row r="128">
      <c r="B128" s="51"/>
      <c r="C128" s="62"/>
      <c r="D128" s="13"/>
      <c r="E128" s="64"/>
      <c r="F128" s="64"/>
      <c r="G128" s="38"/>
      <c r="H128" s="64"/>
      <c r="I128" s="13"/>
      <c r="J128" s="64"/>
      <c r="K128" s="63"/>
      <c r="L128" s="63"/>
      <c r="M128" s="64"/>
      <c r="N128" s="13"/>
      <c r="Q128" s="26" t="s">
        <v>422</v>
      </c>
      <c r="R128" s="26"/>
      <c r="S128" s="65"/>
      <c r="T128" s="65"/>
      <c r="U128" s="13"/>
    </row>
    <row r="129">
      <c r="B129" s="51"/>
      <c r="C129" s="62"/>
      <c r="D129" s="13"/>
      <c r="E129" s="64"/>
      <c r="F129" s="64"/>
      <c r="G129" s="38"/>
      <c r="H129" s="64"/>
      <c r="I129" s="13"/>
      <c r="J129" s="64"/>
      <c r="K129" s="63"/>
      <c r="L129" s="63"/>
      <c r="M129" s="64"/>
      <c r="N129" s="13"/>
      <c r="Q129" s="26" t="s">
        <v>422</v>
      </c>
      <c r="R129" s="26"/>
      <c r="S129" s="65"/>
      <c r="T129" s="65"/>
      <c r="U129" s="13"/>
    </row>
    <row r="130">
      <c r="B130" s="51"/>
      <c r="C130" s="62"/>
      <c r="D130" s="13"/>
      <c r="E130" s="64"/>
      <c r="F130" s="64"/>
      <c r="G130" s="38"/>
      <c r="H130" s="64"/>
      <c r="I130" s="13"/>
      <c r="J130" s="64"/>
      <c r="K130" s="63"/>
      <c r="L130" s="63"/>
      <c r="M130" s="64"/>
      <c r="N130" s="13"/>
      <c r="Q130" s="26" t="s">
        <v>422</v>
      </c>
      <c r="R130" s="26"/>
      <c r="S130" s="65"/>
      <c r="T130" s="65"/>
      <c r="U130" s="13"/>
    </row>
    <row r="131">
      <c r="B131" s="51"/>
      <c r="C131" s="62"/>
      <c r="D131" s="13"/>
      <c r="E131" s="64"/>
      <c r="F131" s="64"/>
      <c r="G131" s="38"/>
      <c r="H131" s="64"/>
      <c r="I131" s="13"/>
      <c r="J131" s="64"/>
      <c r="K131" s="63"/>
      <c r="L131" s="63"/>
      <c r="M131" s="64"/>
      <c r="N131" s="13"/>
      <c r="Q131" s="26" t="s">
        <v>422</v>
      </c>
      <c r="R131" s="26"/>
      <c r="S131" s="65"/>
      <c r="T131" s="65"/>
      <c r="U131" s="13"/>
    </row>
    <row r="132">
      <c r="B132" s="51"/>
      <c r="C132" s="62"/>
      <c r="D132" s="13"/>
      <c r="E132" s="64"/>
      <c r="F132" s="64"/>
      <c r="G132" s="38"/>
      <c r="H132" s="64"/>
      <c r="I132" s="13"/>
      <c r="J132" s="64"/>
      <c r="K132" s="63"/>
      <c r="L132" s="63"/>
      <c r="M132" s="64"/>
      <c r="N132" s="13"/>
      <c r="Q132" s="26" t="s">
        <v>422</v>
      </c>
      <c r="R132" s="26"/>
      <c r="S132" s="65"/>
      <c r="T132" s="65"/>
      <c r="U132" s="13"/>
    </row>
    <row r="133">
      <c r="B133" s="51"/>
      <c r="C133" s="62"/>
      <c r="D133" s="13"/>
      <c r="E133" s="64"/>
      <c r="F133" s="64"/>
      <c r="G133" s="38"/>
      <c r="H133" s="64"/>
      <c r="I133" s="13"/>
      <c r="J133" s="64"/>
      <c r="K133" s="63"/>
      <c r="L133" s="63"/>
      <c r="M133" s="64"/>
      <c r="N133" s="13"/>
      <c r="Q133" s="26" t="s">
        <v>422</v>
      </c>
      <c r="R133" s="26"/>
      <c r="S133" s="65"/>
      <c r="T133" s="65"/>
      <c r="U133" s="13"/>
    </row>
    <row r="134">
      <c r="B134" s="51"/>
      <c r="C134" s="62"/>
      <c r="D134" s="13"/>
      <c r="E134" s="64"/>
      <c r="F134" s="64"/>
      <c r="G134" s="38"/>
      <c r="H134" s="64"/>
      <c r="I134" s="13"/>
      <c r="J134" s="64"/>
      <c r="K134" s="63"/>
      <c r="L134" s="63"/>
      <c r="M134" s="64"/>
      <c r="N134" s="13"/>
      <c r="Q134" s="26" t="s">
        <v>422</v>
      </c>
      <c r="R134" s="26"/>
      <c r="S134" s="65"/>
      <c r="T134" s="65"/>
      <c r="U134" s="13"/>
    </row>
    <row r="135">
      <c r="B135" s="51"/>
      <c r="C135" s="62"/>
      <c r="D135" s="13"/>
      <c r="E135" s="64"/>
      <c r="F135" s="64"/>
      <c r="G135" s="38"/>
      <c r="H135" s="64"/>
      <c r="I135" s="13"/>
      <c r="J135" s="64"/>
      <c r="K135" s="63"/>
      <c r="L135" s="63"/>
      <c r="M135" s="64"/>
      <c r="N135" s="13"/>
      <c r="Q135" s="26" t="s">
        <v>422</v>
      </c>
      <c r="R135" s="26"/>
      <c r="S135" s="65"/>
      <c r="T135" s="65"/>
      <c r="U135" s="13"/>
    </row>
    <row r="136">
      <c r="B136" s="51"/>
      <c r="C136" s="62"/>
      <c r="D136" s="13"/>
      <c r="E136" s="64"/>
      <c r="F136" s="64"/>
      <c r="G136" s="38"/>
      <c r="H136" s="64"/>
      <c r="I136" s="13"/>
      <c r="J136" s="64"/>
      <c r="K136" s="63"/>
      <c r="L136" s="63"/>
      <c r="M136" s="64"/>
      <c r="N136" s="13"/>
      <c r="Q136" s="26" t="s">
        <v>422</v>
      </c>
      <c r="R136" s="26"/>
      <c r="S136" s="65"/>
      <c r="T136" s="65"/>
      <c r="U136" s="13"/>
    </row>
    <row r="137">
      <c r="B137" s="51"/>
      <c r="C137" s="62"/>
      <c r="D137" s="13"/>
      <c r="E137" s="64"/>
      <c r="F137" s="64"/>
      <c r="G137" s="38"/>
      <c r="H137" s="64"/>
      <c r="I137" s="13"/>
      <c r="J137" s="64"/>
      <c r="K137" s="63"/>
      <c r="L137" s="63"/>
      <c r="M137" s="64"/>
      <c r="N137" s="13"/>
      <c r="Q137" s="26" t="s">
        <v>422</v>
      </c>
      <c r="R137" s="26"/>
      <c r="S137" s="65"/>
      <c r="T137" s="65"/>
      <c r="U137" s="13"/>
    </row>
    <row r="138">
      <c r="B138" s="51"/>
      <c r="C138" s="62"/>
      <c r="D138" s="13"/>
      <c r="E138" s="64"/>
      <c r="F138" s="64"/>
      <c r="G138" s="38"/>
      <c r="H138" s="64"/>
      <c r="I138" s="13"/>
      <c r="J138" s="64"/>
      <c r="K138" s="63"/>
      <c r="L138" s="63"/>
      <c r="M138" s="64"/>
      <c r="N138" s="13"/>
      <c r="Q138" s="26" t="s">
        <v>422</v>
      </c>
      <c r="R138" s="26"/>
      <c r="S138" s="65"/>
      <c r="T138" s="65"/>
      <c r="U138" s="13"/>
    </row>
    <row r="139">
      <c r="B139" s="51"/>
      <c r="C139" s="62"/>
      <c r="D139" s="13"/>
      <c r="E139" s="64"/>
      <c r="F139" s="64"/>
      <c r="G139" s="38"/>
      <c r="H139" s="64"/>
      <c r="I139" s="13"/>
      <c r="J139" s="64"/>
      <c r="K139" s="63"/>
      <c r="L139" s="63"/>
      <c r="M139" s="64"/>
      <c r="N139" s="13"/>
      <c r="Q139" s="26" t="s">
        <v>422</v>
      </c>
      <c r="R139" s="26"/>
      <c r="S139" s="65"/>
      <c r="T139" s="65"/>
      <c r="U139" s="13"/>
    </row>
    <row r="140">
      <c r="B140" s="51"/>
      <c r="C140" s="62"/>
      <c r="D140" s="13"/>
      <c r="E140" s="64"/>
      <c r="F140" s="64"/>
      <c r="G140" s="38"/>
      <c r="H140" s="64"/>
      <c r="I140" s="13"/>
      <c r="J140" s="64"/>
      <c r="K140" s="63"/>
      <c r="L140" s="63"/>
      <c r="M140" s="64"/>
      <c r="N140" s="13"/>
      <c r="Q140" s="26" t="s">
        <v>422</v>
      </c>
      <c r="R140" s="26"/>
      <c r="S140" s="65"/>
      <c r="T140" s="65"/>
      <c r="U140" s="13"/>
    </row>
    <row r="141">
      <c r="B141" s="51"/>
      <c r="C141" s="62"/>
      <c r="D141" s="13"/>
      <c r="E141" s="64"/>
      <c r="F141" s="64"/>
      <c r="G141" s="38"/>
      <c r="H141" s="64"/>
      <c r="I141" s="13"/>
      <c r="J141" s="64"/>
      <c r="K141" s="63"/>
      <c r="L141" s="63"/>
      <c r="M141" s="64"/>
      <c r="N141" s="13"/>
      <c r="Q141" s="26" t="s">
        <v>422</v>
      </c>
      <c r="R141" s="26"/>
      <c r="S141" s="65"/>
      <c r="T141" s="65"/>
      <c r="U141" s="13"/>
    </row>
    <row r="142">
      <c r="B142" s="51"/>
      <c r="C142" s="62"/>
      <c r="D142" s="13"/>
      <c r="E142" s="64"/>
      <c r="F142" s="64"/>
      <c r="G142" s="38"/>
      <c r="H142" s="64"/>
      <c r="I142" s="13"/>
      <c r="J142" s="64"/>
      <c r="K142" s="63"/>
      <c r="L142" s="63"/>
      <c r="M142" s="64"/>
      <c r="N142" s="13"/>
      <c r="Q142" s="26" t="s">
        <v>422</v>
      </c>
      <c r="R142" s="26"/>
      <c r="S142" s="65"/>
      <c r="T142" s="65"/>
      <c r="U142" s="13"/>
    </row>
    <row r="143">
      <c r="B143" s="51"/>
      <c r="C143" s="62"/>
      <c r="D143" s="13"/>
      <c r="E143" s="64"/>
      <c r="F143" s="64"/>
      <c r="G143" s="38"/>
      <c r="H143" s="64"/>
      <c r="I143" s="13"/>
      <c r="J143" s="64"/>
      <c r="K143" s="63"/>
      <c r="L143" s="63"/>
      <c r="M143" s="64"/>
      <c r="N143" s="13"/>
      <c r="Q143" s="26" t="s">
        <v>422</v>
      </c>
      <c r="R143" s="26"/>
      <c r="S143" s="65"/>
      <c r="T143" s="65"/>
      <c r="U143" s="13"/>
    </row>
    <row r="144">
      <c r="B144" s="51"/>
      <c r="C144" s="62"/>
      <c r="D144" s="13"/>
      <c r="E144" s="64"/>
      <c r="F144" s="64"/>
      <c r="G144" s="38"/>
      <c r="H144" s="64"/>
      <c r="I144" s="13"/>
      <c r="J144" s="64"/>
      <c r="K144" s="63"/>
      <c r="L144" s="63"/>
      <c r="M144" s="64"/>
      <c r="N144" s="13"/>
      <c r="Q144" s="26" t="s">
        <v>422</v>
      </c>
      <c r="R144" s="26"/>
      <c r="S144" s="65"/>
      <c r="T144" s="65"/>
      <c r="U144" s="13"/>
    </row>
    <row r="145">
      <c r="B145" s="51"/>
      <c r="C145" s="62"/>
      <c r="D145" s="13"/>
      <c r="E145" s="64"/>
      <c r="F145" s="64"/>
      <c r="G145" s="38"/>
      <c r="H145" s="64"/>
      <c r="I145" s="13"/>
      <c r="J145" s="64"/>
      <c r="K145" s="63"/>
      <c r="L145" s="63"/>
      <c r="M145" s="64"/>
      <c r="N145" s="13"/>
      <c r="Q145" s="26" t="s">
        <v>422</v>
      </c>
      <c r="R145" s="26"/>
      <c r="S145" s="65"/>
      <c r="T145" s="65"/>
      <c r="U145" s="13"/>
    </row>
    <row r="146">
      <c r="B146" s="51"/>
      <c r="C146" s="62"/>
      <c r="D146" s="13"/>
      <c r="E146" s="64"/>
      <c r="F146" s="64"/>
      <c r="G146" s="38"/>
      <c r="H146" s="64"/>
      <c r="I146" s="13"/>
      <c r="J146" s="64"/>
      <c r="K146" s="63"/>
      <c r="L146" s="63"/>
      <c r="M146" s="64"/>
      <c r="N146" s="13"/>
      <c r="Q146" s="26" t="s">
        <v>422</v>
      </c>
      <c r="R146" s="26"/>
      <c r="S146" s="65"/>
      <c r="T146" s="65"/>
      <c r="U146" s="13"/>
    </row>
    <row r="147">
      <c r="B147" s="51"/>
      <c r="C147" s="62"/>
      <c r="D147" s="13"/>
      <c r="E147" s="64"/>
      <c r="F147" s="64"/>
      <c r="G147" s="38"/>
      <c r="H147" s="64"/>
      <c r="I147" s="13"/>
      <c r="J147" s="64"/>
      <c r="K147" s="63"/>
      <c r="L147" s="63"/>
      <c r="M147" s="64"/>
      <c r="N147" s="13"/>
      <c r="Q147" s="26" t="s">
        <v>422</v>
      </c>
      <c r="R147" s="26"/>
      <c r="S147" s="65"/>
      <c r="T147" s="65"/>
      <c r="U147" s="13"/>
    </row>
    <row r="148">
      <c r="B148" s="51"/>
      <c r="C148" s="62"/>
      <c r="D148" s="13"/>
      <c r="E148" s="64"/>
      <c r="F148" s="64"/>
      <c r="G148" s="38"/>
      <c r="H148" s="64"/>
      <c r="I148" s="13"/>
      <c r="J148" s="64"/>
      <c r="K148" s="63"/>
      <c r="L148" s="63"/>
      <c r="M148" s="64"/>
      <c r="N148" s="13"/>
      <c r="Q148" s="26" t="s">
        <v>422</v>
      </c>
      <c r="R148" s="26"/>
      <c r="S148" s="65"/>
      <c r="T148" s="65"/>
      <c r="U148" s="13"/>
    </row>
    <row r="149">
      <c r="B149" s="51"/>
      <c r="C149" s="62"/>
      <c r="D149" s="13"/>
      <c r="E149" s="64"/>
      <c r="F149" s="64"/>
      <c r="G149" s="38"/>
      <c r="H149" s="64"/>
      <c r="I149" s="13"/>
      <c r="J149" s="64"/>
      <c r="K149" s="63"/>
      <c r="L149" s="63"/>
      <c r="M149" s="64"/>
      <c r="N149" s="13"/>
      <c r="Q149" s="26" t="s">
        <v>422</v>
      </c>
      <c r="R149" s="26"/>
      <c r="S149" s="65"/>
      <c r="T149" s="65"/>
      <c r="U149" s="13"/>
    </row>
    <row r="150">
      <c r="B150" s="51"/>
      <c r="C150" s="62"/>
      <c r="D150" s="13"/>
      <c r="E150" s="64"/>
      <c r="F150" s="64"/>
      <c r="G150" s="38"/>
      <c r="H150" s="64"/>
      <c r="I150" s="13"/>
      <c r="J150" s="64"/>
      <c r="K150" s="63"/>
      <c r="L150" s="63"/>
      <c r="M150" s="64"/>
      <c r="N150" s="13"/>
      <c r="Q150" s="26" t="s">
        <v>422</v>
      </c>
      <c r="R150" s="26"/>
      <c r="S150" s="65"/>
      <c r="T150" s="65"/>
      <c r="U150" s="13"/>
    </row>
    <row r="151">
      <c r="B151" s="51"/>
      <c r="C151" s="62"/>
      <c r="D151" s="13"/>
      <c r="E151" s="64"/>
      <c r="F151" s="64"/>
      <c r="G151" s="38"/>
      <c r="H151" s="64"/>
      <c r="I151" s="13"/>
      <c r="J151" s="64"/>
      <c r="K151" s="63"/>
      <c r="L151" s="63"/>
      <c r="M151" s="64"/>
      <c r="N151" s="13"/>
      <c r="Q151" s="26" t="s">
        <v>422</v>
      </c>
      <c r="R151" s="26"/>
      <c r="S151" s="65"/>
      <c r="T151" s="65"/>
      <c r="U151" s="13"/>
    </row>
    <row r="152">
      <c r="B152" s="51"/>
      <c r="C152" s="62"/>
      <c r="D152" s="13"/>
      <c r="E152" s="64"/>
      <c r="F152" s="64"/>
      <c r="G152" s="38"/>
      <c r="H152" s="64"/>
      <c r="I152" s="13"/>
      <c r="J152" s="64"/>
      <c r="K152" s="63"/>
      <c r="L152" s="63"/>
      <c r="M152" s="64"/>
      <c r="N152" s="13"/>
      <c r="Q152" s="26" t="s">
        <v>422</v>
      </c>
      <c r="R152" s="26"/>
      <c r="S152" s="65"/>
      <c r="T152" s="65"/>
      <c r="U152" s="13"/>
    </row>
    <row r="153">
      <c r="B153" s="51"/>
      <c r="C153" s="62"/>
      <c r="D153" s="13"/>
      <c r="E153" s="64"/>
      <c r="F153" s="64"/>
      <c r="G153" s="38"/>
      <c r="H153" s="64"/>
      <c r="I153" s="13"/>
      <c r="J153" s="64"/>
      <c r="K153" s="63"/>
      <c r="L153" s="63"/>
      <c r="M153" s="64"/>
      <c r="N153" s="13"/>
      <c r="Q153" s="26" t="s">
        <v>422</v>
      </c>
      <c r="R153" s="26"/>
      <c r="S153" s="65"/>
      <c r="T153" s="65"/>
      <c r="U153" s="13"/>
    </row>
    <row r="154">
      <c r="B154" s="51"/>
      <c r="C154" s="62"/>
      <c r="D154" s="13"/>
      <c r="E154" s="64"/>
      <c r="F154" s="64"/>
      <c r="G154" s="38"/>
      <c r="H154" s="64"/>
      <c r="I154" s="13"/>
      <c r="J154" s="64"/>
      <c r="K154" s="63"/>
      <c r="L154" s="63"/>
      <c r="M154" s="64"/>
      <c r="N154" s="13"/>
      <c r="Q154" s="26" t="s">
        <v>422</v>
      </c>
      <c r="R154" s="26"/>
      <c r="S154" s="65"/>
      <c r="T154" s="65"/>
      <c r="U154" s="13"/>
    </row>
    <row r="155">
      <c r="B155" s="51"/>
      <c r="C155" s="62"/>
      <c r="D155" s="13"/>
      <c r="E155" s="64"/>
      <c r="F155" s="64"/>
      <c r="G155" s="38"/>
      <c r="H155" s="64"/>
      <c r="I155" s="13"/>
      <c r="J155" s="64"/>
      <c r="K155" s="63"/>
      <c r="L155" s="63"/>
      <c r="M155" s="64"/>
      <c r="N155" s="13"/>
      <c r="Q155" s="26" t="s">
        <v>422</v>
      </c>
      <c r="R155" s="26"/>
      <c r="S155" s="65"/>
      <c r="T155" s="65"/>
      <c r="U155" s="13"/>
    </row>
    <row r="156">
      <c r="B156" s="51"/>
      <c r="C156" s="62"/>
      <c r="D156" s="13"/>
      <c r="E156" s="64"/>
      <c r="F156" s="64"/>
      <c r="G156" s="38"/>
      <c r="H156" s="64"/>
      <c r="I156" s="13"/>
      <c r="J156" s="64"/>
      <c r="K156" s="63"/>
      <c r="L156" s="63"/>
      <c r="M156" s="64"/>
      <c r="N156" s="13"/>
      <c r="Q156" s="26" t="s">
        <v>422</v>
      </c>
      <c r="R156" s="26"/>
      <c r="S156" s="65"/>
      <c r="T156" s="65"/>
      <c r="U156" s="13"/>
    </row>
    <row r="157">
      <c r="B157" s="51"/>
      <c r="C157" s="62"/>
      <c r="D157" s="13"/>
      <c r="E157" s="64"/>
      <c r="F157" s="64"/>
      <c r="G157" s="38"/>
      <c r="H157" s="64"/>
      <c r="I157" s="13"/>
      <c r="J157" s="64"/>
      <c r="K157" s="63"/>
      <c r="L157" s="63"/>
      <c r="M157" s="64"/>
      <c r="N157" s="13"/>
      <c r="Q157" s="26" t="s">
        <v>422</v>
      </c>
      <c r="R157" s="26"/>
      <c r="S157" s="65"/>
      <c r="T157" s="65"/>
      <c r="U157" s="13"/>
    </row>
    <row r="158">
      <c r="B158" s="51"/>
      <c r="C158" s="62"/>
      <c r="D158" s="13"/>
      <c r="E158" s="64"/>
      <c r="F158" s="64"/>
      <c r="G158" s="38"/>
      <c r="H158" s="64"/>
      <c r="I158" s="13"/>
      <c r="J158" s="64"/>
      <c r="K158" s="63"/>
      <c r="L158" s="63"/>
      <c r="M158" s="64"/>
      <c r="N158" s="13"/>
      <c r="Q158" s="26" t="s">
        <v>422</v>
      </c>
      <c r="R158" s="26"/>
      <c r="S158" s="65"/>
      <c r="T158" s="65"/>
      <c r="U158" s="13"/>
    </row>
    <row r="159">
      <c r="B159" s="51"/>
      <c r="C159" s="62"/>
      <c r="D159" s="13"/>
      <c r="E159" s="64"/>
      <c r="F159" s="64"/>
      <c r="G159" s="38"/>
      <c r="H159" s="64"/>
      <c r="I159" s="13"/>
      <c r="J159" s="64"/>
      <c r="K159" s="63"/>
      <c r="L159" s="63"/>
      <c r="M159" s="64"/>
      <c r="N159" s="13"/>
      <c r="Q159" s="26" t="s">
        <v>422</v>
      </c>
      <c r="R159" s="26"/>
      <c r="S159" s="65"/>
      <c r="T159" s="65"/>
      <c r="U159" s="13"/>
    </row>
    <row r="160">
      <c r="B160" s="51"/>
      <c r="C160" s="62"/>
      <c r="D160" s="13"/>
      <c r="E160" s="64"/>
      <c r="F160" s="64"/>
      <c r="G160" s="38"/>
      <c r="H160" s="64"/>
      <c r="I160" s="13"/>
      <c r="J160" s="64"/>
      <c r="K160" s="63"/>
      <c r="L160" s="63"/>
      <c r="M160" s="64"/>
      <c r="N160" s="13"/>
      <c r="Q160" s="26" t="s">
        <v>422</v>
      </c>
      <c r="R160" s="26"/>
      <c r="S160" s="65"/>
      <c r="T160" s="65"/>
      <c r="U160" s="13"/>
    </row>
    <row r="161">
      <c r="B161" s="51"/>
      <c r="C161" s="62"/>
      <c r="D161" s="13"/>
      <c r="E161" s="64"/>
      <c r="F161" s="64"/>
      <c r="G161" s="38"/>
      <c r="H161" s="64"/>
      <c r="I161" s="13"/>
      <c r="J161" s="64"/>
      <c r="K161" s="63"/>
      <c r="L161" s="63"/>
      <c r="M161" s="64"/>
      <c r="N161" s="13"/>
      <c r="Q161" s="26" t="s">
        <v>422</v>
      </c>
      <c r="R161" s="26"/>
      <c r="S161" s="65"/>
      <c r="T161" s="65"/>
      <c r="U161" s="13"/>
    </row>
    <row r="162">
      <c r="B162" s="51"/>
      <c r="C162" s="62"/>
      <c r="D162" s="13"/>
      <c r="E162" s="64"/>
      <c r="F162" s="64"/>
      <c r="G162" s="38"/>
      <c r="H162" s="64"/>
      <c r="I162" s="13"/>
      <c r="J162" s="64"/>
      <c r="K162" s="63"/>
      <c r="L162" s="63"/>
      <c r="M162" s="64"/>
      <c r="N162" s="13"/>
      <c r="Q162" s="26" t="s">
        <v>422</v>
      </c>
      <c r="R162" s="26"/>
      <c r="S162" s="65"/>
      <c r="T162" s="65"/>
      <c r="U162" s="13"/>
    </row>
    <row r="163">
      <c r="B163" s="51"/>
      <c r="C163" s="62"/>
      <c r="D163" s="13"/>
      <c r="E163" s="64"/>
      <c r="F163" s="64"/>
      <c r="G163" s="38"/>
      <c r="H163" s="64"/>
      <c r="I163" s="13"/>
      <c r="J163" s="64"/>
      <c r="K163" s="63"/>
      <c r="L163" s="63"/>
      <c r="M163" s="64"/>
      <c r="N163" s="13"/>
      <c r="Q163" s="26" t="s">
        <v>422</v>
      </c>
      <c r="R163" s="26"/>
      <c r="S163" s="65"/>
      <c r="T163" s="65"/>
      <c r="U163" s="13"/>
    </row>
    <row r="164">
      <c r="B164" s="51"/>
      <c r="C164" s="62"/>
      <c r="D164" s="13"/>
      <c r="E164" s="64"/>
      <c r="F164" s="64"/>
      <c r="G164" s="38"/>
      <c r="H164" s="64"/>
      <c r="I164" s="13"/>
      <c r="J164" s="64"/>
      <c r="K164" s="63"/>
      <c r="L164" s="63"/>
      <c r="M164" s="64"/>
      <c r="N164" s="13"/>
      <c r="Q164" s="26" t="s">
        <v>422</v>
      </c>
      <c r="R164" s="26"/>
      <c r="S164" s="65"/>
      <c r="T164" s="65"/>
      <c r="U164" s="13"/>
    </row>
    <row r="165">
      <c r="B165" s="51"/>
      <c r="C165" s="62"/>
      <c r="D165" s="13"/>
      <c r="E165" s="64"/>
      <c r="F165" s="64"/>
      <c r="G165" s="38"/>
      <c r="H165" s="64"/>
      <c r="I165" s="13"/>
      <c r="J165" s="64"/>
      <c r="K165" s="63"/>
      <c r="L165" s="63"/>
      <c r="M165" s="64"/>
      <c r="N165" s="13"/>
      <c r="Q165" s="26" t="s">
        <v>422</v>
      </c>
      <c r="R165" s="26"/>
      <c r="S165" s="65"/>
      <c r="T165" s="65"/>
      <c r="U165" s="13"/>
    </row>
    <row r="166">
      <c r="B166" s="51"/>
      <c r="C166" s="62"/>
      <c r="D166" s="13"/>
      <c r="E166" s="64"/>
      <c r="F166" s="64"/>
      <c r="G166" s="38"/>
      <c r="H166" s="64"/>
      <c r="I166" s="13"/>
      <c r="J166" s="64"/>
      <c r="K166" s="63"/>
      <c r="L166" s="63"/>
      <c r="M166" s="64"/>
      <c r="N166" s="13"/>
      <c r="Q166" s="26" t="s">
        <v>422</v>
      </c>
      <c r="R166" s="26"/>
      <c r="S166" s="65"/>
      <c r="T166" s="65"/>
      <c r="U166" s="13"/>
    </row>
    <row r="167">
      <c r="B167" s="51"/>
      <c r="C167" s="62"/>
      <c r="D167" s="13"/>
      <c r="E167" s="64"/>
      <c r="F167" s="64"/>
      <c r="G167" s="38"/>
      <c r="H167" s="64"/>
      <c r="I167" s="13"/>
      <c r="J167" s="64"/>
      <c r="K167" s="63"/>
      <c r="L167" s="63"/>
      <c r="M167" s="64"/>
      <c r="N167" s="13"/>
      <c r="Q167" s="26" t="s">
        <v>422</v>
      </c>
      <c r="R167" s="26"/>
      <c r="S167" s="65"/>
      <c r="T167" s="65"/>
      <c r="U167" s="13"/>
    </row>
    <row r="168">
      <c r="B168" s="51"/>
      <c r="C168" s="62"/>
      <c r="D168" s="13"/>
      <c r="E168" s="64"/>
      <c r="F168" s="64"/>
      <c r="G168" s="38"/>
      <c r="H168" s="64"/>
      <c r="I168" s="13"/>
      <c r="J168" s="64"/>
      <c r="K168" s="63"/>
      <c r="L168" s="63"/>
      <c r="M168" s="64"/>
      <c r="N168" s="13"/>
      <c r="Q168" s="26" t="s">
        <v>422</v>
      </c>
      <c r="R168" s="26"/>
      <c r="S168" s="65"/>
      <c r="T168" s="65"/>
      <c r="U168" s="13"/>
    </row>
    <row r="169">
      <c r="B169" s="51"/>
      <c r="C169" s="62"/>
      <c r="D169" s="13"/>
      <c r="E169" s="64"/>
      <c r="F169" s="64"/>
      <c r="G169" s="38"/>
      <c r="H169" s="64"/>
      <c r="I169" s="13"/>
      <c r="J169" s="64"/>
      <c r="K169" s="63"/>
      <c r="L169" s="63"/>
      <c r="M169" s="64"/>
      <c r="N169" s="13"/>
      <c r="Q169" s="26" t="s">
        <v>422</v>
      </c>
      <c r="R169" s="26"/>
      <c r="S169" s="65"/>
      <c r="T169" s="65"/>
      <c r="U169" s="13"/>
    </row>
    <row r="170">
      <c r="B170" s="51"/>
      <c r="C170" s="62"/>
      <c r="D170" s="13"/>
      <c r="E170" s="64"/>
      <c r="F170" s="64"/>
      <c r="G170" s="38"/>
      <c r="H170" s="64"/>
      <c r="I170" s="13"/>
      <c r="J170" s="64"/>
      <c r="K170" s="63"/>
      <c r="L170" s="63"/>
      <c r="M170" s="64"/>
      <c r="N170" s="13"/>
      <c r="Q170" s="26" t="s">
        <v>422</v>
      </c>
      <c r="R170" s="26"/>
      <c r="S170" s="65"/>
      <c r="T170" s="65"/>
      <c r="U170" s="13"/>
    </row>
    <row r="171">
      <c r="B171" s="51"/>
      <c r="C171" s="62"/>
      <c r="D171" s="13"/>
      <c r="E171" s="64"/>
      <c r="F171" s="64"/>
      <c r="G171" s="38"/>
      <c r="H171" s="64"/>
      <c r="I171" s="13"/>
      <c r="J171" s="64"/>
      <c r="K171" s="63"/>
      <c r="L171" s="63"/>
      <c r="M171" s="64"/>
      <c r="N171" s="13"/>
      <c r="Q171" s="26" t="s">
        <v>422</v>
      </c>
      <c r="R171" s="26"/>
      <c r="S171" s="65"/>
      <c r="T171" s="65"/>
      <c r="U171" s="13"/>
    </row>
    <row r="172">
      <c r="B172" s="51"/>
      <c r="C172" s="62"/>
      <c r="D172" s="13"/>
      <c r="E172" s="64"/>
      <c r="F172" s="64"/>
      <c r="G172" s="38"/>
      <c r="H172" s="64"/>
      <c r="I172" s="13"/>
      <c r="J172" s="64"/>
      <c r="K172" s="63"/>
      <c r="L172" s="63"/>
      <c r="M172" s="64"/>
      <c r="N172" s="13"/>
      <c r="Q172" s="26" t="s">
        <v>422</v>
      </c>
      <c r="R172" s="26"/>
      <c r="S172" s="65"/>
      <c r="T172" s="65"/>
      <c r="U172" s="13"/>
    </row>
    <row r="173">
      <c r="B173" s="51"/>
      <c r="C173" s="62"/>
      <c r="D173" s="13"/>
      <c r="E173" s="64"/>
      <c r="F173" s="64"/>
      <c r="G173" s="38"/>
      <c r="H173" s="64"/>
      <c r="I173" s="13"/>
      <c r="J173" s="64"/>
      <c r="K173" s="63"/>
      <c r="L173" s="63"/>
      <c r="M173" s="64"/>
      <c r="N173" s="13"/>
      <c r="Q173" s="26" t="s">
        <v>422</v>
      </c>
      <c r="R173" s="26"/>
      <c r="S173" s="65"/>
      <c r="T173" s="65"/>
      <c r="U173" s="13"/>
    </row>
    <row r="174">
      <c r="B174" s="51"/>
      <c r="C174" s="62"/>
      <c r="D174" s="13"/>
      <c r="E174" s="64"/>
      <c r="F174" s="64"/>
      <c r="G174" s="38"/>
      <c r="H174" s="64"/>
      <c r="I174" s="13"/>
      <c r="J174" s="64"/>
      <c r="K174" s="63"/>
      <c r="L174" s="63"/>
      <c r="M174" s="64"/>
      <c r="N174" s="13"/>
      <c r="Q174" s="26" t="s">
        <v>422</v>
      </c>
      <c r="R174" s="26"/>
      <c r="S174" s="65"/>
      <c r="T174" s="65"/>
      <c r="U174" s="13"/>
    </row>
    <row r="175">
      <c r="B175" s="51"/>
      <c r="C175" s="62"/>
      <c r="D175" s="13"/>
      <c r="E175" s="64"/>
      <c r="F175" s="64"/>
      <c r="G175" s="38"/>
      <c r="H175" s="64"/>
      <c r="I175" s="13"/>
      <c r="J175" s="64"/>
      <c r="K175" s="63"/>
      <c r="L175" s="63"/>
      <c r="M175" s="64"/>
      <c r="N175" s="13"/>
      <c r="Q175" s="26" t="s">
        <v>422</v>
      </c>
      <c r="R175" s="26"/>
      <c r="S175" s="65"/>
      <c r="T175" s="65"/>
      <c r="U175" s="13"/>
    </row>
    <row r="176">
      <c r="B176" s="51"/>
      <c r="C176" s="62"/>
      <c r="D176" s="13"/>
      <c r="E176" s="64"/>
      <c r="F176" s="64"/>
      <c r="G176" s="38"/>
      <c r="H176" s="64"/>
      <c r="I176" s="13"/>
      <c r="J176" s="64"/>
      <c r="K176" s="63"/>
      <c r="L176" s="63"/>
      <c r="M176" s="64"/>
      <c r="N176" s="13"/>
      <c r="Q176" s="26" t="s">
        <v>422</v>
      </c>
      <c r="R176" s="26"/>
      <c r="S176" s="65"/>
      <c r="T176" s="65"/>
      <c r="U176" s="13"/>
    </row>
    <row r="177">
      <c r="B177" s="51"/>
      <c r="C177" s="62"/>
      <c r="D177" s="13"/>
      <c r="E177" s="64"/>
      <c r="F177" s="64"/>
      <c r="G177" s="38"/>
      <c r="H177" s="64"/>
      <c r="I177" s="13"/>
      <c r="J177" s="64"/>
      <c r="K177" s="63"/>
      <c r="L177" s="63"/>
      <c r="M177" s="64"/>
      <c r="N177" s="13"/>
      <c r="Q177" s="26" t="s">
        <v>422</v>
      </c>
      <c r="R177" s="26"/>
      <c r="S177" s="65"/>
      <c r="T177" s="65"/>
      <c r="U177" s="13"/>
    </row>
    <row r="178">
      <c r="B178" s="51"/>
      <c r="C178" s="62"/>
      <c r="D178" s="13"/>
      <c r="E178" s="64"/>
      <c r="F178" s="64"/>
      <c r="G178" s="38"/>
      <c r="H178" s="64"/>
      <c r="I178" s="13"/>
      <c r="J178" s="64"/>
      <c r="K178" s="63"/>
      <c r="L178" s="63"/>
      <c r="M178" s="64"/>
      <c r="N178" s="13"/>
      <c r="Q178" s="26" t="s">
        <v>422</v>
      </c>
      <c r="R178" s="26"/>
      <c r="S178" s="65"/>
      <c r="T178" s="65"/>
      <c r="U178" s="13"/>
    </row>
    <row r="179">
      <c r="B179" s="51"/>
      <c r="C179" s="62"/>
      <c r="D179" s="13"/>
      <c r="E179" s="64"/>
      <c r="F179" s="64"/>
      <c r="G179" s="38"/>
      <c r="H179" s="64"/>
      <c r="I179" s="13"/>
      <c r="J179" s="64"/>
      <c r="K179" s="63"/>
      <c r="L179" s="63"/>
      <c r="M179" s="64"/>
      <c r="N179" s="13"/>
      <c r="Q179" s="26" t="s">
        <v>422</v>
      </c>
      <c r="R179" s="26"/>
      <c r="S179" s="65"/>
      <c r="T179" s="65"/>
      <c r="U179" s="13"/>
    </row>
    <row r="180">
      <c r="B180" s="51"/>
      <c r="C180" s="62"/>
      <c r="D180" s="13"/>
      <c r="E180" s="64"/>
      <c r="F180" s="64"/>
      <c r="G180" s="38"/>
      <c r="H180" s="64"/>
      <c r="I180" s="13"/>
      <c r="J180" s="64"/>
      <c r="K180" s="63"/>
      <c r="L180" s="63"/>
      <c r="M180" s="64"/>
      <c r="N180" s="13"/>
      <c r="Q180" s="26" t="s">
        <v>422</v>
      </c>
      <c r="R180" s="26"/>
      <c r="S180" s="65"/>
      <c r="T180" s="65"/>
      <c r="U180" s="13"/>
    </row>
    <row r="181">
      <c r="B181" s="51"/>
      <c r="C181" s="62"/>
      <c r="D181" s="13"/>
      <c r="E181" s="64"/>
      <c r="F181" s="64"/>
      <c r="G181" s="38"/>
      <c r="H181" s="64"/>
      <c r="I181" s="13"/>
      <c r="J181" s="64"/>
      <c r="K181" s="63"/>
      <c r="L181" s="63"/>
      <c r="M181" s="64"/>
      <c r="N181" s="13"/>
      <c r="Q181" s="26" t="s">
        <v>422</v>
      </c>
      <c r="R181" s="26"/>
      <c r="S181" s="65"/>
      <c r="T181" s="65"/>
      <c r="U181" s="13"/>
    </row>
    <row r="182">
      <c r="B182" s="51"/>
      <c r="C182" s="62"/>
      <c r="D182" s="13"/>
      <c r="E182" s="64"/>
      <c r="F182" s="64"/>
      <c r="G182" s="38"/>
      <c r="H182" s="64"/>
      <c r="I182" s="13"/>
      <c r="J182" s="64"/>
      <c r="K182" s="63"/>
      <c r="L182" s="63"/>
      <c r="M182" s="64"/>
      <c r="N182" s="13"/>
      <c r="Q182" s="26" t="s">
        <v>422</v>
      </c>
      <c r="R182" s="26"/>
      <c r="S182" s="65"/>
      <c r="T182" s="65"/>
      <c r="U182" s="13"/>
    </row>
    <row r="183">
      <c r="B183" s="51"/>
      <c r="C183" s="62"/>
      <c r="D183" s="13"/>
      <c r="E183" s="64"/>
      <c r="F183" s="64"/>
      <c r="G183" s="38"/>
      <c r="H183" s="64"/>
      <c r="I183" s="13"/>
      <c r="J183" s="64"/>
      <c r="K183" s="63"/>
      <c r="L183" s="63"/>
      <c r="M183" s="64"/>
      <c r="N183" s="13"/>
      <c r="Q183" s="26" t="s">
        <v>422</v>
      </c>
      <c r="R183" s="26"/>
      <c r="S183" s="65"/>
      <c r="T183" s="65"/>
      <c r="U183" s="13"/>
    </row>
    <row r="184">
      <c r="B184" s="51"/>
      <c r="C184" s="62"/>
      <c r="D184" s="13"/>
      <c r="E184" s="64"/>
      <c r="F184" s="64"/>
      <c r="G184" s="38"/>
      <c r="H184" s="64"/>
      <c r="I184" s="13"/>
      <c r="J184" s="64"/>
      <c r="K184" s="63"/>
      <c r="L184" s="63"/>
      <c r="M184" s="64"/>
      <c r="N184" s="13"/>
      <c r="Q184" s="26" t="s">
        <v>422</v>
      </c>
      <c r="R184" s="26"/>
      <c r="S184" s="65"/>
      <c r="T184" s="65"/>
      <c r="U184" s="13"/>
    </row>
    <row r="185">
      <c r="B185" s="51"/>
      <c r="C185" s="62"/>
      <c r="D185" s="13"/>
      <c r="E185" s="64"/>
      <c r="F185" s="64"/>
      <c r="G185" s="38"/>
      <c r="H185" s="64"/>
      <c r="I185" s="13"/>
      <c r="J185" s="64"/>
      <c r="K185" s="63"/>
      <c r="L185" s="63"/>
      <c r="M185" s="64"/>
      <c r="N185" s="13"/>
      <c r="Q185" s="26" t="s">
        <v>422</v>
      </c>
      <c r="R185" s="26"/>
      <c r="S185" s="65"/>
      <c r="T185" s="65"/>
      <c r="U185" s="13"/>
    </row>
    <row r="186">
      <c r="B186" s="51"/>
      <c r="C186" s="62"/>
      <c r="D186" s="13"/>
      <c r="E186" s="64"/>
      <c r="F186" s="64"/>
      <c r="G186" s="38"/>
      <c r="H186" s="64"/>
      <c r="I186" s="13"/>
      <c r="J186" s="64"/>
      <c r="K186" s="63"/>
      <c r="L186" s="63"/>
      <c r="M186" s="64"/>
      <c r="N186" s="13"/>
      <c r="Q186" s="26" t="s">
        <v>422</v>
      </c>
      <c r="R186" s="26"/>
      <c r="S186" s="65"/>
      <c r="T186" s="65"/>
      <c r="U186" s="13"/>
    </row>
    <row r="187">
      <c r="B187" s="51"/>
      <c r="C187" s="62"/>
      <c r="D187" s="13"/>
      <c r="E187" s="64"/>
      <c r="F187" s="64"/>
      <c r="G187" s="38"/>
      <c r="H187" s="64"/>
      <c r="I187" s="13"/>
      <c r="J187" s="64"/>
      <c r="K187" s="63"/>
      <c r="L187" s="63"/>
      <c r="M187" s="64"/>
      <c r="N187" s="13"/>
      <c r="Q187" s="26" t="s">
        <v>422</v>
      </c>
      <c r="R187" s="26"/>
      <c r="S187" s="65"/>
      <c r="T187" s="65"/>
      <c r="U187" s="13"/>
    </row>
    <row r="188">
      <c r="B188" s="51"/>
      <c r="C188" s="62"/>
      <c r="D188" s="13"/>
      <c r="E188" s="64"/>
      <c r="F188" s="64"/>
      <c r="G188" s="38"/>
      <c r="H188" s="64"/>
      <c r="I188" s="13"/>
      <c r="J188" s="64"/>
      <c r="K188" s="63"/>
      <c r="L188" s="63"/>
      <c r="M188" s="64"/>
      <c r="N188" s="13"/>
      <c r="Q188" s="26" t="s">
        <v>422</v>
      </c>
      <c r="R188" s="26"/>
      <c r="S188" s="65"/>
      <c r="T188" s="65"/>
      <c r="U188" s="13"/>
    </row>
    <row r="189">
      <c r="B189" s="51"/>
      <c r="C189" s="62"/>
      <c r="D189" s="13"/>
      <c r="E189" s="64"/>
      <c r="F189" s="64"/>
      <c r="G189" s="38"/>
      <c r="H189" s="64"/>
      <c r="I189" s="13"/>
      <c r="J189" s="64"/>
      <c r="K189" s="63"/>
      <c r="L189" s="63"/>
      <c r="M189" s="64"/>
      <c r="N189" s="13"/>
      <c r="Q189" s="26" t="s">
        <v>422</v>
      </c>
      <c r="R189" s="26"/>
      <c r="S189" s="65"/>
      <c r="T189" s="65"/>
      <c r="U189" s="13"/>
    </row>
    <row r="190">
      <c r="B190" s="51"/>
      <c r="C190" s="62"/>
      <c r="D190" s="13"/>
      <c r="E190" s="64"/>
      <c r="F190" s="64"/>
      <c r="G190" s="38"/>
      <c r="H190" s="64"/>
      <c r="I190" s="13"/>
      <c r="J190" s="64"/>
      <c r="K190" s="63"/>
      <c r="L190" s="63"/>
      <c r="M190" s="64"/>
      <c r="N190" s="13"/>
      <c r="Q190" s="26" t="s">
        <v>422</v>
      </c>
      <c r="R190" s="26"/>
      <c r="S190" s="65"/>
      <c r="T190" s="65"/>
      <c r="U190" s="13"/>
    </row>
    <row r="191">
      <c r="B191" s="51"/>
      <c r="C191" s="62"/>
      <c r="D191" s="13"/>
      <c r="E191" s="64"/>
      <c r="F191" s="64"/>
      <c r="G191" s="38"/>
      <c r="H191" s="64"/>
      <c r="I191" s="13"/>
      <c r="J191" s="64"/>
      <c r="K191" s="63"/>
      <c r="L191" s="63"/>
      <c r="M191" s="64"/>
      <c r="N191" s="13"/>
      <c r="Q191" s="26" t="s">
        <v>422</v>
      </c>
      <c r="R191" s="26"/>
      <c r="S191" s="65"/>
      <c r="T191" s="65"/>
      <c r="U191" s="13"/>
    </row>
    <row r="192">
      <c r="B192" s="51"/>
      <c r="C192" s="62"/>
      <c r="D192" s="13"/>
      <c r="E192" s="64"/>
      <c r="F192" s="64"/>
      <c r="G192" s="38"/>
      <c r="H192" s="64"/>
      <c r="I192" s="13"/>
      <c r="J192" s="64"/>
      <c r="K192" s="63"/>
      <c r="L192" s="63"/>
      <c r="M192" s="64"/>
      <c r="N192" s="13"/>
      <c r="Q192" s="26" t="s">
        <v>422</v>
      </c>
      <c r="R192" s="26"/>
      <c r="S192" s="65"/>
      <c r="T192" s="65"/>
      <c r="U192" s="13"/>
    </row>
    <row r="193">
      <c r="B193" s="51"/>
      <c r="C193" s="62"/>
      <c r="D193" s="13"/>
      <c r="E193" s="64"/>
      <c r="F193" s="64"/>
      <c r="G193" s="38"/>
      <c r="H193" s="64"/>
      <c r="I193" s="13"/>
      <c r="J193" s="64"/>
      <c r="K193" s="63"/>
      <c r="L193" s="63"/>
      <c r="M193" s="64"/>
      <c r="N193" s="13"/>
      <c r="Q193" s="26" t="s">
        <v>422</v>
      </c>
      <c r="R193" s="26"/>
      <c r="S193" s="65"/>
      <c r="T193" s="65"/>
      <c r="U193" s="13"/>
    </row>
    <row r="194">
      <c r="B194" s="51"/>
      <c r="C194" s="62"/>
      <c r="D194" s="13"/>
      <c r="E194" s="64"/>
      <c r="F194" s="64"/>
      <c r="G194" s="38"/>
      <c r="H194" s="64"/>
      <c r="I194" s="13"/>
      <c r="J194" s="64"/>
      <c r="K194" s="63"/>
      <c r="L194" s="63"/>
      <c r="M194" s="64"/>
      <c r="N194" s="13"/>
      <c r="Q194" s="26" t="s">
        <v>422</v>
      </c>
      <c r="R194" s="26"/>
      <c r="S194" s="65"/>
      <c r="T194" s="65"/>
      <c r="U194" s="13"/>
    </row>
    <row r="195">
      <c r="B195" s="51"/>
      <c r="C195" s="62"/>
      <c r="D195" s="13"/>
      <c r="E195" s="64"/>
      <c r="F195" s="64"/>
      <c r="G195" s="38"/>
      <c r="H195" s="64"/>
      <c r="I195" s="13"/>
      <c r="J195" s="64"/>
      <c r="K195" s="63"/>
      <c r="L195" s="63"/>
      <c r="M195" s="64"/>
      <c r="N195" s="13"/>
      <c r="Q195" s="26" t="s">
        <v>422</v>
      </c>
      <c r="R195" s="26"/>
      <c r="S195" s="65"/>
      <c r="T195" s="65"/>
      <c r="U195" s="13"/>
    </row>
    <row r="196">
      <c r="B196" s="51"/>
      <c r="C196" s="62"/>
      <c r="D196" s="13"/>
      <c r="E196" s="64"/>
      <c r="F196" s="64"/>
      <c r="G196" s="38"/>
      <c r="H196" s="64"/>
      <c r="I196" s="13"/>
      <c r="J196" s="64"/>
      <c r="K196" s="63"/>
      <c r="L196" s="63"/>
      <c r="M196" s="64"/>
      <c r="N196" s="13"/>
      <c r="Q196" s="26" t="s">
        <v>422</v>
      </c>
      <c r="R196" s="26"/>
      <c r="S196" s="65"/>
      <c r="T196" s="65"/>
      <c r="U196" s="13"/>
    </row>
    <row r="197">
      <c r="B197" s="51"/>
      <c r="C197" s="62"/>
      <c r="D197" s="13"/>
      <c r="E197" s="64"/>
      <c r="F197" s="64"/>
      <c r="G197" s="38"/>
      <c r="H197" s="64"/>
      <c r="I197" s="13"/>
      <c r="J197" s="64"/>
      <c r="K197" s="63"/>
      <c r="L197" s="63"/>
      <c r="M197" s="64"/>
      <c r="N197" s="13"/>
      <c r="Q197" s="26" t="s">
        <v>422</v>
      </c>
      <c r="R197" s="26"/>
      <c r="S197" s="65"/>
      <c r="T197" s="65"/>
      <c r="U197" s="13"/>
    </row>
    <row r="198">
      <c r="B198" s="51"/>
      <c r="C198" s="62"/>
      <c r="D198" s="13"/>
      <c r="E198" s="64"/>
      <c r="F198" s="64"/>
      <c r="G198" s="38"/>
      <c r="H198" s="64"/>
      <c r="I198" s="13"/>
      <c r="J198" s="64"/>
      <c r="K198" s="63"/>
      <c r="L198" s="63"/>
      <c r="M198" s="64"/>
      <c r="N198" s="13"/>
      <c r="Q198" s="26" t="s">
        <v>422</v>
      </c>
      <c r="R198" s="26"/>
      <c r="S198" s="65"/>
      <c r="T198" s="65"/>
      <c r="U198" s="13"/>
    </row>
    <row r="199">
      <c r="B199" s="51"/>
      <c r="C199" s="62"/>
      <c r="D199" s="13"/>
      <c r="E199" s="64"/>
      <c r="F199" s="64"/>
      <c r="G199" s="38"/>
      <c r="H199" s="64"/>
      <c r="I199" s="13"/>
      <c r="J199" s="64"/>
      <c r="K199" s="63"/>
      <c r="L199" s="63"/>
      <c r="M199" s="64"/>
      <c r="N199" s="13"/>
      <c r="Q199" s="26" t="s">
        <v>422</v>
      </c>
      <c r="R199" s="26"/>
      <c r="S199" s="65"/>
      <c r="T199" s="65"/>
      <c r="U199" s="13"/>
    </row>
    <row r="200">
      <c r="B200" s="51"/>
      <c r="C200" s="62"/>
      <c r="D200" s="13"/>
      <c r="E200" s="64"/>
      <c r="F200" s="64"/>
      <c r="G200" s="38"/>
      <c r="H200" s="64"/>
      <c r="I200" s="13"/>
      <c r="J200" s="64"/>
      <c r="K200" s="63"/>
      <c r="L200" s="63"/>
      <c r="M200" s="64"/>
      <c r="N200" s="13"/>
      <c r="Q200" s="26" t="s">
        <v>422</v>
      </c>
      <c r="R200" s="26"/>
      <c r="S200" s="65"/>
      <c r="T200" s="65"/>
      <c r="U200" s="13"/>
    </row>
    <row r="201">
      <c r="B201" s="51"/>
      <c r="C201" s="62"/>
      <c r="D201" s="13"/>
      <c r="E201" s="64"/>
      <c r="F201" s="64"/>
      <c r="G201" s="38"/>
      <c r="H201" s="64"/>
      <c r="I201" s="13"/>
      <c r="J201" s="64"/>
      <c r="K201" s="63"/>
      <c r="L201" s="63"/>
      <c r="M201" s="64"/>
      <c r="N201" s="13"/>
      <c r="Q201" s="26" t="s">
        <v>422</v>
      </c>
      <c r="R201" s="26"/>
      <c r="S201" s="65"/>
      <c r="T201" s="65"/>
      <c r="U201" s="13"/>
    </row>
    <row r="202">
      <c r="B202" s="51"/>
      <c r="C202" s="62"/>
      <c r="D202" s="13"/>
      <c r="E202" s="64"/>
      <c r="F202" s="64"/>
      <c r="G202" s="38"/>
      <c r="H202" s="64"/>
      <c r="I202" s="13"/>
      <c r="J202" s="64"/>
      <c r="K202" s="63"/>
      <c r="L202" s="63"/>
      <c r="M202" s="64"/>
      <c r="N202" s="13"/>
      <c r="Q202" s="26" t="s">
        <v>422</v>
      </c>
      <c r="R202" s="26"/>
      <c r="S202" s="65"/>
      <c r="T202" s="65"/>
      <c r="U202" s="13"/>
    </row>
    <row r="203">
      <c r="B203" s="51"/>
      <c r="C203" s="62"/>
      <c r="D203" s="13"/>
      <c r="E203" s="64"/>
      <c r="F203" s="64"/>
      <c r="G203" s="38"/>
      <c r="H203" s="64"/>
      <c r="I203" s="13"/>
      <c r="J203" s="64"/>
      <c r="K203" s="63"/>
      <c r="L203" s="63"/>
      <c r="M203" s="64"/>
      <c r="N203" s="13"/>
      <c r="Q203" s="26" t="s">
        <v>422</v>
      </c>
      <c r="R203" s="26"/>
      <c r="S203" s="65"/>
      <c r="T203" s="65"/>
      <c r="U203" s="13"/>
    </row>
    <row r="204">
      <c r="B204" s="51"/>
      <c r="C204" s="62"/>
      <c r="D204" s="13"/>
      <c r="E204" s="64"/>
      <c r="F204" s="64"/>
      <c r="G204" s="38"/>
      <c r="H204" s="64"/>
      <c r="I204" s="13"/>
      <c r="J204" s="64"/>
      <c r="K204" s="63"/>
      <c r="L204" s="63"/>
      <c r="M204" s="64"/>
      <c r="N204" s="13"/>
      <c r="Q204" s="26" t="s">
        <v>422</v>
      </c>
      <c r="R204" s="26"/>
      <c r="S204" s="65"/>
      <c r="T204" s="65"/>
      <c r="U204" s="13"/>
    </row>
    <row r="205">
      <c r="B205" s="51"/>
      <c r="C205" s="62"/>
      <c r="D205" s="13"/>
      <c r="E205" s="64"/>
      <c r="F205" s="64"/>
      <c r="G205" s="38"/>
      <c r="H205" s="64"/>
      <c r="I205" s="13"/>
      <c r="J205" s="64"/>
      <c r="K205" s="63"/>
      <c r="L205" s="63"/>
      <c r="M205" s="64"/>
      <c r="N205" s="13"/>
      <c r="Q205" s="26" t="s">
        <v>422</v>
      </c>
      <c r="R205" s="26"/>
      <c r="S205" s="65"/>
      <c r="T205" s="65"/>
      <c r="U205" s="13"/>
    </row>
    <row r="206">
      <c r="B206" s="51"/>
      <c r="C206" s="62"/>
      <c r="D206" s="13"/>
      <c r="E206" s="64"/>
      <c r="F206" s="64"/>
      <c r="G206" s="38"/>
      <c r="H206" s="64"/>
      <c r="I206" s="13"/>
      <c r="J206" s="64"/>
      <c r="K206" s="63"/>
      <c r="L206" s="63"/>
      <c r="M206" s="64"/>
      <c r="N206" s="13"/>
      <c r="Q206" s="26" t="s">
        <v>422</v>
      </c>
      <c r="R206" s="26"/>
      <c r="S206" s="65"/>
      <c r="T206" s="65"/>
      <c r="U206" s="13"/>
    </row>
    <row r="207">
      <c r="B207" s="51"/>
      <c r="C207" s="62"/>
      <c r="D207" s="13"/>
      <c r="E207" s="64"/>
      <c r="F207" s="64"/>
      <c r="G207" s="38"/>
      <c r="H207" s="64"/>
      <c r="I207" s="13"/>
      <c r="J207" s="64"/>
      <c r="K207" s="63"/>
      <c r="L207" s="63"/>
      <c r="M207" s="64"/>
      <c r="N207" s="13"/>
      <c r="Q207" s="26" t="s">
        <v>422</v>
      </c>
      <c r="R207" s="26"/>
      <c r="S207" s="65"/>
      <c r="T207" s="65"/>
      <c r="U207" s="13"/>
    </row>
    <row r="208">
      <c r="B208" s="51"/>
      <c r="C208" s="62"/>
      <c r="D208" s="13"/>
      <c r="E208" s="64"/>
      <c r="F208" s="64"/>
      <c r="G208" s="38"/>
      <c r="H208" s="64"/>
      <c r="I208" s="13"/>
      <c r="J208" s="64"/>
      <c r="K208" s="63"/>
      <c r="L208" s="63"/>
      <c r="M208" s="64"/>
      <c r="N208" s="13"/>
      <c r="Q208" s="26" t="s">
        <v>422</v>
      </c>
      <c r="R208" s="26"/>
      <c r="S208" s="65"/>
      <c r="T208" s="65"/>
      <c r="U208" s="13"/>
    </row>
    <row r="209">
      <c r="B209" s="51"/>
      <c r="C209" s="62"/>
      <c r="D209" s="13"/>
      <c r="E209" s="64"/>
      <c r="F209" s="64"/>
      <c r="G209" s="38"/>
      <c r="H209" s="64"/>
      <c r="I209" s="13"/>
      <c r="J209" s="64"/>
      <c r="K209" s="63"/>
      <c r="L209" s="63"/>
      <c r="M209" s="64"/>
      <c r="N209" s="13"/>
      <c r="Q209" s="26" t="s">
        <v>422</v>
      </c>
      <c r="R209" s="26"/>
      <c r="S209" s="65"/>
      <c r="T209" s="65"/>
      <c r="U209" s="13"/>
    </row>
    <row r="210">
      <c r="B210" s="51"/>
      <c r="C210" s="62"/>
      <c r="D210" s="13"/>
      <c r="E210" s="64"/>
      <c r="F210" s="64"/>
      <c r="G210" s="38"/>
      <c r="H210" s="64"/>
      <c r="I210" s="13"/>
      <c r="J210" s="64"/>
      <c r="K210" s="63"/>
      <c r="L210" s="63"/>
      <c r="M210" s="64"/>
      <c r="N210" s="13"/>
      <c r="Q210" s="26" t="s">
        <v>422</v>
      </c>
      <c r="R210" s="26"/>
      <c r="S210" s="65"/>
      <c r="T210" s="65"/>
      <c r="U210" s="13"/>
    </row>
    <row r="211">
      <c r="B211" s="51"/>
      <c r="C211" s="62"/>
      <c r="D211" s="13"/>
      <c r="E211" s="64"/>
      <c r="F211" s="64"/>
      <c r="G211" s="38"/>
      <c r="H211" s="64"/>
      <c r="I211" s="13"/>
      <c r="J211" s="64"/>
      <c r="K211" s="63"/>
      <c r="L211" s="63"/>
      <c r="M211" s="64"/>
      <c r="N211" s="13"/>
      <c r="Q211" s="26" t="s">
        <v>422</v>
      </c>
      <c r="R211" s="26"/>
      <c r="S211" s="65"/>
      <c r="T211" s="65"/>
      <c r="U211" s="13"/>
    </row>
    <row r="212">
      <c r="B212" s="51"/>
      <c r="C212" s="62"/>
      <c r="D212" s="13"/>
      <c r="E212" s="64"/>
      <c r="F212" s="64"/>
      <c r="G212" s="38"/>
      <c r="H212" s="64"/>
      <c r="I212" s="13"/>
      <c r="J212" s="64"/>
      <c r="K212" s="63"/>
      <c r="L212" s="63"/>
      <c r="M212" s="64"/>
      <c r="N212" s="13"/>
      <c r="Q212" s="26" t="s">
        <v>422</v>
      </c>
      <c r="R212" s="26"/>
      <c r="S212" s="65"/>
      <c r="T212" s="65"/>
      <c r="U212" s="13"/>
    </row>
    <row r="213">
      <c r="B213" s="51"/>
      <c r="C213" s="62"/>
      <c r="D213" s="13"/>
      <c r="E213" s="64"/>
      <c r="F213" s="64"/>
      <c r="G213" s="38"/>
      <c r="H213" s="64"/>
      <c r="I213" s="13"/>
      <c r="J213" s="64"/>
      <c r="K213" s="63"/>
      <c r="L213" s="63"/>
      <c r="M213" s="64"/>
      <c r="N213" s="13"/>
      <c r="Q213" s="26" t="s">
        <v>422</v>
      </c>
      <c r="R213" s="26"/>
      <c r="S213" s="65"/>
      <c r="T213" s="65"/>
      <c r="U213" s="13"/>
    </row>
    <row r="214">
      <c r="B214" s="51"/>
      <c r="C214" s="62"/>
      <c r="D214" s="13"/>
      <c r="E214" s="64"/>
      <c r="F214" s="64"/>
      <c r="G214" s="38"/>
      <c r="H214" s="64"/>
      <c r="I214" s="13"/>
      <c r="J214" s="64"/>
      <c r="K214" s="63"/>
      <c r="L214" s="63"/>
      <c r="M214" s="64"/>
      <c r="N214" s="13"/>
      <c r="Q214" s="26" t="s">
        <v>422</v>
      </c>
      <c r="R214" s="26"/>
      <c r="S214" s="65"/>
      <c r="T214" s="65"/>
      <c r="U214" s="13"/>
    </row>
    <row r="215">
      <c r="B215" s="51"/>
      <c r="C215" s="62"/>
      <c r="D215" s="13"/>
      <c r="E215" s="64"/>
      <c r="F215" s="64"/>
      <c r="G215" s="38"/>
      <c r="H215" s="64"/>
      <c r="I215" s="13"/>
      <c r="J215" s="64"/>
      <c r="K215" s="63"/>
      <c r="L215" s="63"/>
      <c r="M215" s="64"/>
      <c r="N215" s="13"/>
      <c r="Q215" s="26" t="s">
        <v>422</v>
      </c>
      <c r="R215" s="26"/>
      <c r="S215" s="65"/>
      <c r="T215" s="65"/>
      <c r="U215" s="13"/>
    </row>
    <row r="216">
      <c r="B216" s="51"/>
      <c r="C216" s="62"/>
      <c r="D216" s="13"/>
      <c r="E216" s="64"/>
      <c r="F216" s="64"/>
      <c r="G216" s="38"/>
      <c r="H216" s="64"/>
      <c r="I216" s="13"/>
      <c r="J216" s="64"/>
      <c r="K216" s="63"/>
      <c r="L216" s="63"/>
      <c r="M216" s="64"/>
      <c r="N216" s="13"/>
      <c r="Q216" s="26" t="s">
        <v>422</v>
      </c>
      <c r="R216" s="26"/>
      <c r="S216" s="65"/>
      <c r="T216" s="65"/>
      <c r="U216" s="13"/>
    </row>
    <row r="217">
      <c r="B217" s="51"/>
      <c r="C217" s="62"/>
      <c r="D217" s="13"/>
      <c r="E217" s="64"/>
      <c r="F217" s="64"/>
      <c r="G217" s="38"/>
      <c r="H217" s="64"/>
      <c r="I217" s="13"/>
      <c r="J217" s="64"/>
      <c r="K217" s="63"/>
      <c r="L217" s="63"/>
      <c r="M217" s="64"/>
      <c r="N217" s="13"/>
      <c r="Q217" s="26" t="s">
        <v>422</v>
      </c>
      <c r="R217" s="26"/>
      <c r="S217" s="65"/>
      <c r="T217" s="65"/>
      <c r="U217" s="13"/>
    </row>
    <row r="218">
      <c r="B218" s="51"/>
      <c r="C218" s="62"/>
      <c r="D218" s="13"/>
      <c r="E218" s="64"/>
      <c r="F218" s="64"/>
      <c r="G218" s="38"/>
      <c r="H218" s="64"/>
      <c r="I218" s="13"/>
      <c r="J218" s="64"/>
      <c r="K218" s="63"/>
      <c r="L218" s="63"/>
      <c r="M218" s="64"/>
      <c r="N218" s="13"/>
      <c r="Q218" s="26" t="s">
        <v>422</v>
      </c>
      <c r="R218" s="26"/>
      <c r="S218" s="65"/>
      <c r="T218" s="65"/>
      <c r="U218" s="13"/>
    </row>
    <row r="219">
      <c r="B219" s="51"/>
      <c r="C219" s="62"/>
      <c r="D219" s="13"/>
      <c r="E219" s="64"/>
      <c r="F219" s="64"/>
      <c r="G219" s="38"/>
      <c r="H219" s="64"/>
      <c r="I219" s="13"/>
      <c r="J219" s="64"/>
      <c r="K219" s="63"/>
      <c r="L219" s="63"/>
      <c r="M219" s="64"/>
      <c r="N219" s="13"/>
      <c r="Q219" s="26" t="s">
        <v>422</v>
      </c>
      <c r="R219" s="26"/>
      <c r="S219" s="65"/>
      <c r="T219" s="65"/>
      <c r="U219" s="13"/>
    </row>
    <row r="220">
      <c r="B220" s="51"/>
      <c r="C220" s="62"/>
      <c r="D220" s="13"/>
      <c r="E220" s="64"/>
      <c r="F220" s="64"/>
      <c r="G220" s="38"/>
      <c r="H220" s="64"/>
      <c r="I220" s="13"/>
      <c r="J220" s="64"/>
      <c r="K220" s="63"/>
      <c r="L220" s="63"/>
      <c r="M220" s="64"/>
      <c r="N220" s="13"/>
      <c r="Q220" s="26" t="s">
        <v>422</v>
      </c>
      <c r="R220" s="26"/>
      <c r="S220" s="65"/>
      <c r="T220" s="65"/>
      <c r="U220" s="13"/>
    </row>
    <row r="221">
      <c r="B221" s="51"/>
      <c r="C221" s="62"/>
      <c r="D221" s="13"/>
      <c r="E221" s="64"/>
      <c r="F221" s="64"/>
      <c r="G221" s="38"/>
      <c r="H221" s="64"/>
      <c r="I221" s="13"/>
      <c r="J221" s="64"/>
      <c r="K221" s="63"/>
      <c r="L221" s="63"/>
      <c r="M221" s="64"/>
      <c r="N221" s="13"/>
      <c r="Q221" s="26" t="s">
        <v>422</v>
      </c>
      <c r="R221" s="26"/>
      <c r="S221" s="65"/>
      <c r="T221" s="65"/>
      <c r="U221" s="13"/>
    </row>
    <row r="222">
      <c r="B222" s="51"/>
      <c r="C222" s="62"/>
      <c r="D222" s="13"/>
      <c r="E222" s="64"/>
      <c r="F222" s="64"/>
      <c r="G222" s="38"/>
      <c r="H222" s="64"/>
      <c r="I222" s="13"/>
      <c r="J222" s="64"/>
      <c r="K222" s="63"/>
      <c r="L222" s="63"/>
      <c r="M222" s="64"/>
      <c r="N222" s="13"/>
      <c r="Q222" s="26" t="s">
        <v>422</v>
      </c>
      <c r="R222" s="26"/>
      <c r="S222" s="65"/>
      <c r="T222" s="65"/>
      <c r="U222" s="13"/>
    </row>
    <row r="223">
      <c r="B223" s="51"/>
      <c r="C223" s="62"/>
      <c r="D223" s="13"/>
      <c r="E223" s="64"/>
      <c r="F223" s="64"/>
      <c r="G223" s="38"/>
      <c r="H223" s="64"/>
      <c r="I223" s="13"/>
      <c r="J223" s="64"/>
      <c r="K223" s="63"/>
      <c r="L223" s="63"/>
      <c r="M223" s="64"/>
      <c r="N223" s="13"/>
      <c r="Q223" s="26" t="s">
        <v>422</v>
      </c>
      <c r="R223" s="26"/>
      <c r="S223" s="65"/>
      <c r="T223" s="65"/>
      <c r="U223" s="13"/>
    </row>
    <row r="224">
      <c r="B224" s="51"/>
      <c r="C224" s="62"/>
      <c r="D224" s="13"/>
      <c r="E224" s="64"/>
      <c r="F224" s="64"/>
      <c r="G224" s="38"/>
      <c r="H224" s="64"/>
      <c r="I224" s="13"/>
      <c r="J224" s="64"/>
      <c r="K224" s="63"/>
      <c r="L224" s="63"/>
      <c r="M224" s="64"/>
      <c r="N224" s="13"/>
      <c r="Q224" s="26" t="s">
        <v>422</v>
      </c>
      <c r="R224" s="26"/>
      <c r="S224" s="65"/>
      <c r="T224" s="65"/>
      <c r="U224" s="13"/>
    </row>
    <row r="225">
      <c r="B225" s="51"/>
      <c r="C225" s="62"/>
      <c r="D225" s="13"/>
      <c r="E225" s="64"/>
      <c r="F225" s="64"/>
      <c r="G225" s="38"/>
      <c r="H225" s="64"/>
      <c r="I225" s="13"/>
      <c r="J225" s="64"/>
      <c r="K225" s="63"/>
      <c r="L225" s="63"/>
      <c r="M225" s="64"/>
      <c r="N225" s="13"/>
      <c r="Q225" s="26" t="s">
        <v>422</v>
      </c>
      <c r="R225" s="26"/>
      <c r="S225" s="65"/>
      <c r="T225" s="65"/>
      <c r="U225" s="13"/>
    </row>
    <row r="226">
      <c r="B226" s="51"/>
      <c r="C226" s="62"/>
      <c r="D226" s="13"/>
      <c r="E226" s="64"/>
      <c r="F226" s="64"/>
      <c r="G226" s="38"/>
      <c r="H226" s="64"/>
      <c r="I226" s="13"/>
      <c r="J226" s="64"/>
      <c r="K226" s="63"/>
      <c r="L226" s="63"/>
      <c r="M226" s="64"/>
      <c r="N226" s="13"/>
      <c r="Q226" s="26" t="s">
        <v>422</v>
      </c>
      <c r="R226" s="26"/>
      <c r="S226" s="65"/>
      <c r="T226" s="65"/>
      <c r="U226" s="13"/>
    </row>
    <row r="227">
      <c r="B227" s="51"/>
      <c r="C227" s="62"/>
      <c r="D227" s="13"/>
      <c r="E227" s="64"/>
      <c r="F227" s="64"/>
      <c r="G227" s="38"/>
      <c r="H227" s="64"/>
      <c r="I227" s="13"/>
      <c r="J227" s="64"/>
      <c r="K227" s="63"/>
      <c r="L227" s="63"/>
      <c r="M227" s="64"/>
      <c r="N227" s="13"/>
      <c r="Q227" s="26" t="s">
        <v>422</v>
      </c>
      <c r="R227" s="26"/>
      <c r="S227" s="65"/>
      <c r="T227" s="65"/>
      <c r="U227" s="13"/>
    </row>
    <row r="228">
      <c r="B228" s="51"/>
      <c r="C228" s="62"/>
      <c r="D228" s="13"/>
      <c r="E228" s="64"/>
      <c r="F228" s="64"/>
      <c r="G228" s="38"/>
      <c r="H228" s="64"/>
      <c r="I228" s="13"/>
      <c r="J228" s="64"/>
      <c r="K228" s="63"/>
      <c r="L228" s="63"/>
      <c r="M228" s="64"/>
      <c r="N228" s="13"/>
      <c r="Q228" s="26" t="s">
        <v>422</v>
      </c>
      <c r="R228" s="26"/>
      <c r="S228" s="65"/>
      <c r="T228" s="65"/>
      <c r="U228" s="13"/>
    </row>
    <row r="229">
      <c r="B229" s="51"/>
      <c r="C229" s="62"/>
      <c r="D229" s="13"/>
      <c r="E229" s="64"/>
      <c r="F229" s="64"/>
      <c r="G229" s="38"/>
      <c r="H229" s="64"/>
      <c r="I229" s="13"/>
      <c r="J229" s="64"/>
      <c r="K229" s="63"/>
      <c r="L229" s="63"/>
      <c r="M229" s="64"/>
      <c r="N229" s="13"/>
      <c r="Q229" s="26" t="s">
        <v>422</v>
      </c>
      <c r="R229" s="26"/>
      <c r="S229" s="65"/>
      <c r="T229" s="65"/>
      <c r="U229" s="13"/>
    </row>
    <row r="230">
      <c r="B230" s="51"/>
      <c r="C230" s="62"/>
      <c r="D230" s="13"/>
      <c r="E230" s="64"/>
      <c r="F230" s="64"/>
      <c r="G230" s="38"/>
      <c r="H230" s="64"/>
      <c r="I230" s="13"/>
      <c r="J230" s="64"/>
      <c r="K230" s="63"/>
      <c r="L230" s="63"/>
      <c r="M230" s="64"/>
      <c r="N230" s="13"/>
      <c r="Q230" s="26" t="s">
        <v>422</v>
      </c>
      <c r="R230" s="26"/>
      <c r="S230" s="65"/>
      <c r="T230" s="65"/>
      <c r="U230" s="13"/>
    </row>
    <row r="231">
      <c r="B231" s="51"/>
      <c r="C231" s="62"/>
      <c r="D231" s="13"/>
      <c r="E231" s="64"/>
      <c r="F231" s="64"/>
      <c r="G231" s="38"/>
      <c r="H231" s="64"/>
      <c r="I231" s="13"/>
      <c r="J231" s="64"/>
      <c r="K231" s="63"/>
      <c r="L231" s="63"/>
      <c r="M231" s="64"/>
      <c r="N231" s="13"/>
      <c r="Q231" s="26" t="s">
        <v>422</v>
      </c>
      <c r="R231" s="26"/>
      <c r="S231" s="65"/>
      <c r="T231" s="65"/>
      <c r="U231" s="13"/>
    </row>
    <row r="232">
      <c r="B232" s="51"/>
      <c r="C232" s="62"/>
      <c r="D232" s="13"/>
      <c r="E232" s="64"/>
      <c r="F232" s="64"/>
      <c r="G232" s="38"/>
      <c r="H232" s="64"/>
      <c r="I232" s="13"/>
      <c r="J232" s="64"/>
      <c r="K232" s="63"/>
      <c r="L232" s="63"/>
      <c r="M232" s="64"/>
      <c r="N232" s="13"/>
      <c r="Q232" s="26" t="s">
        <v>422</v>
      </c>
      <c r="R232" s="26"/>
      <c r="S232" s="65"/>
      <c r="T232" s="65"/>
      <c r="U232" s="13"/>
    </row>
    <row r="233">
      <c r="B233" s="51"/>
      <c r="C233" s="62"/>
      <c r="D233" s="13"/>
      <c r="E233" s="64"/>
      <c r="F233" s="64"/>
      <c r="G233" s="38"/>
      <c r="H233" s="64"/>
      <c r="I233" s="13"/>
      <c r="J233" s="64"/>
      <c r="K233" s="63"/>
      <c r="L233" s="63"/>
      <c r="M233" s="64"/>
      <c r="N233" s="13"/>
      <c r="Q233" s="26" t="s">
        <v>422</v>
      </c>
      <c r="R233" s="26"/>
      <c r="S233" s="65"/>
      <c r="T233" s="65"/>
      <c r="U233" s="13"/>
    </row>
    <row r="234">
      <c r="B234" s="51"/>
      <c r="C234" s="62"/>
      <c r="D234" s="13"/>
      <c r="E234" s="64"/>
      <c r="F234" s="64"/>
      <c r="G234" s="38"/>
      <c r="H234" s="64"/>
      <c r="I234" s="13"/>
      <c r="J234" s="64"/>
      <c r="K234" s="63"/>
      <c r="L234" s="63"/>
      <c r="M234" s="64"/>
      <c r="N234" s="13"/>
      <c r="Q234" s="26" t="s">
        <v>422</v>
      </c>
      <c r="R234" s="26"/>
      <c r="S234" s="65"/>
      <c r="T234" s="65"/>
      <c r="U234" s="13"/>
    </row>
    <row r="235">
      <c r="B235" s="51"/>
      <c r="C235" s="62"/>
      <c r="D235" s="13"/>
      <c r="E235" s="64"/>
      <c r="F235" s="64"/>
      <c r="G235" s="38"/>
      <c r="H235" s="64"/>
      <c r="I235" s="13"/>
      <c r="J235" s="64"/>
      <c r="K235" s="63"/>
      <c r="L235" s="63"/>
      <c r="M235" s="64"/>
      <c r="N235" s="13"/>
      <c r="Q235" s="26" t="s">
        <v>422</v>
      </c>
      <c r="R235" s="26"/>
      <c r="S235" s="65"/>
      <c r="T235" s="65"/>
      <c r="U235" s="13"/>
    </row>
    <row r="236">
      <c r="B236" s="51"/>
      <c r="C236" s="62"/>
      <c r="D236" s="13"/>
      <c r="E236" s="64"/>
      <c r="F236" s="64"/>
      <c r="G236" s="38"/>
      <c r="H236" s="64"/>
      <c r="I236" s="13"/>
      <c r="J236" s="64"/>
      <c r="K236" s="63"/>
      <c r="L236" s="63"/>
      <c r="M236" s="64"/>
      <c r="N236" s="13"/>
      <c r="Q236" s="26" t="s">
        <v>422</v>
      </c>
      <c r="R236" s="26"/>
      <c r="S236" s="65"/>
      <c r="T236" s="65"/>
      <c r="U236" s="13"/>
    </row>
    <row r="237">
      <c r="B237" s="51"/>
      <c r="C237" s="62"/>
      <c r="D237" s="13"/>
      <c r="E237" s="64"/>
      <c r="F237" s="64"/>
      <c r="G237" s="38"/>
      <c r="H237" s="64"/>
      <c r="I237" s="13"/>
      <c r="J237" s="64"/>
      <c r="K237" s="63"/>
      <c r="L237" s="63"/>
      <c r="M237" s="64"/>
      <c r="N237" s="13"/>
      <c r="Q237" s="26" t="s">
        <v>422</v>
      </c>
      <c r="R237" s="26"/>
      <c r="S237" s="65"/>
      <c r="T237" s="65"/>
      <c r="U237" s="13"/>
    </row>
    <row r="238">
      <c r="B238" s="51"/>
      <c r="C238" s="62"/>
      <c r="D238" s="13"/>
      <c r="E238" s="64"/>
      <c r="F238" s="64"/>
      <c r="G238" s="38"/>
      <c r="H238" s="64"/>
      <c r="I238" s="13"/>
      <c r="J238" s="64"/>
      <c r="K238" s="63"/>
      <c r="L238" s="63"/>
      <c r="M238" s="64"/>
      <c r="N238" s="13"/>
      <c r="Q238" s="26" t="s">
        <v>422</v>
      </c>
      <c r="R238" s="26"/>
      <c r="S238" s="65"/>
      <c r="T238" s="65"/>
      <c r="U238" s="13"/>
    </row>
    <row r="239">
      <c r="B239" s="51"/>
      <c r="C239" s="62"/>
      <c r="D239" s="13"/>
      <c r="E239" s="64"/>
      <c r="F239" s="64"/>
      <c r="G239" s="38"/>
      <c r="H239" s="64"/>
      <c r="I239" s="13"/>
      <c r="J239" s="64"/>
      <c r="K239" s="63"/>
      <c r="L239" s="63"/>
      <c r="M239" s="64"/>
      <c r="N239" s="13"/>
      <c r="Q239" s="26" t="s">
        <v>422</v>
      </c>
      <c r="R239" s="26"/>
      <c r="S239" s="65"/>
      <c r="T239" s="65"/>
      <c r="U239" s="13"/>
    </row>
    <row r="240">
      <c r="B240" s="51"/>
      <c r="C240" s="62"/>
      <c r="D240" s="13"/>
      <c r="E240" s="64"/>
      <c r="F240" s="64"/>
      <c r="G240" s="38"/>
      <c r="H240" s="64"/>
      <c r="I240" s="13"/>
      <c r="J240" s="64"/>
      <c r="K240" s="63"/>
      <c r="L240" s="63"/>
      <c r="M240" s="64"/>
      <c r="N240" s="13"/>
      <c r="Q240" s="26" t="s">
        <v>422</v>
      </c>
      <c r="R240" s="26"/>
      <c r="S240" s="65"/>
      <c r="T240" s="65"/>
      <c r="U240" s="13"/>
    </row>
    <row r="241">
      <c r="B241" s="51"/>
      <c r="C241" s="62"/>
      <c r="D241" s="13"/>
      <c r="E241" s="64"/>
      <c r="F241" s="64"/>
      <c r="G241" s="38"/>
      <c r="H241" s="64"/>
      <c r="I241" s="13"/>
      <c r="J241" s="64"/>
      <c r="K241" s="63"/>
      <c r="L241" s="63"/>
      <c r="M241" s="64"/>
      <c r="N241" s="13"/>
      <c r="Q241" s="26" t="s">
        <v>422</v>
      </c>
      <c r="R241" s="26"/>
      <c r="S241" s="65"/>
      <c r="T241" s="65"/>
      <c r="U241" s="13"/>
    </row>
    <row r="242">
      <c r="B242" s="51"/>
      <c r="C242" s="62"/>
      <c r="D242" s="13"/>
      <c r="E242" s="64"/>
      <c r="F242" s="64"/>
      <c r="G242" s="38"/>
      <c r="H242" s="64"/>
      <c r="I242" s="13"/>
      <c r="J242" s="64"/>
      <c r="K242" s="63"/>
      <c r="L242" s="63"/>
      <c r="M242" s="64"/>
      <c r="N242" s="13"/>
      <c r="Q242" s="26" t="s">
        <v>422</v>
      </c>
      <c r="R242" s="26"/>
      <c r="S242" s="65"/>
      <c r="T242" s="65"/>
      <c r="U242" s="13"/>
    </row>
    <row r="243">
      <c r="B243" s="51"/>
      <c r="C243" s="62"/>
      <c r="D243" s="13"/>
      <c r="E243" s="64"/>
      <c r="F243" s="64"/>
      <c r="G243" s="38"/>
      <c r="H243" s="64"/>
      <c r="I243" s="13"/>
      <c r="J243" s="64"/>
      <c r="K243" s="63"/>
      <c r="L243" s="63"/>
      <c r="M243" s="64"/>
      <c r="N243" s="13"/>
      <c r="Q243" s="26" t="s">
        <v>422</v>
      </c>
      <c r="R243" s="26"/>
      <c r="S243" s="65"/>
      <c r="T243" s="65"/>
      <c r="U243" s="13"/>
    </row>
    <row r="244">
      <c r="B244" s="51"/>
      <c r="C244" s="62"/>
      <c r="D244" s="13"/>
      <c r="E244" s="64"/>
      <c r="F244" s="64"/>
      <c r="G244" s="38"/>
      <c r="H244" s="64"/>
      <c r="I244" s="13"/>
      <c r="J244" s="64"/>
      <c r="K244" s="63"/>
      <c r="L244" s="63"/>
      <c r="M244" s="64"/>
      <c r="N244" s="13"/>
      <c r="Q244" s="26" t="s">
        <v>422</v>
      </c>
      <c r="R244" s="26"/>
      <c r="S244" s="65"/>
      <c r="T244" s="65"/>
      <c r="U244" s="13"/>
    </row>
    <row r="245">
      <c r="B245" s="51"/>
      <c r="C245" s="62"/>
      <c r="D245" s="13"/>
      <c r="E245" s="64"/>
      <c r="F245" s="64"/>
      <c r="G245" s="38"/>
      <c r="H245" s="64"/>
      <c r="I245" s="13"/>
      <c r="J245" s="64"/>
      <c r="K245" s="63"/>
      <c r="L245" s="63"/>
      <c r="M245" s="64"/>
      <c r="N245" s="13"/>
      <c r="Q245" s="26" t="s">
        <v>422</v>
      </c>
      <c r="R245" s="26"/>
      <c r="S245" s="65"/>
      <c r="T245" s="65"/>
      <c r="U245" s="13"/>
    </row>
    <row r="246">
      <c r="B246" s="51"/>
      <c r="C246" s="62"/>
      <c r="D246" s="13"/>
      <c r="E246" s="64"/>
      <c r="F246" s="64"/>
      <c r="G246" s="38"/>
      <c r="H246" s="64"/>
      <c r="I246" s="13"/>
      <c r="J246" s="64"/>
      <c r="K246" s="63"/>
      <c r="L246" s="63"/>
      <c r="M246" s="64"/>
      <c r="N246" s="13"/>
      <c r="Q246" s="26" t="s">
        <v>422</v>
      </c>
      <c r="R246" s="26"/>
      <c r="S246" s="65"/>
      <c r="T246" s="65"/>
      <c r="U246" s="13"/>
    </row>
    <row r="247">
      <c r="B247" s="51"/>
      <c r="C247" s="62"/>
      <c r="D247" s="13"/>
      <c r="E247" s="64"/>
      <c r="F247" s="64"/>
      <c r="G247" s="38"/>
      <c r="H247" s="64"/>
      <c r="I247" s="13"/>
      <c r="J247" s="64"/>
      <c r="K247" s="63"/>
      <c r="L247" s="63"/>
      <c r="M247" s="64"/>
      <c r="N247" s="13"/>
      <c r="Q247" s="26" t="s">
        <v>422</v>
      </c>
      <c r="R247" s="26"/>
      <c r="S247" s="65"/>
      <c r="T247" s="65"/>
      <c r="U247" s="13"/>
    </row>
    <row r="248">
      <c r="B248" s="51"/>
      <c r="C248" s="62"/>
      <c r="D248" s="13"/>
      <c r="E248" s="64"/>
      <c r="F248" s="64"/>
      <c r="G248" s="38"/>
      <c r="H248" s="64"/>
      <c r="I248" s="13"/>
      <c r="J248" s="64"/>
      <c r="K248" s="63"/>
      <c r="L248" s="63"/>
      <c r="M248" s="64"/>
      <c r="N248" s="13"/>
      <c r="Q248" s="26" t="s">
        <v>422</v>
      </c>
      <c r="R248" s="26"/>
      <c r="S248" s="65"/>
      <c r="T248" s="65"/>
      <c r="U248" s="13"/>
    </row>
    <row r="249">
      <c r="B249" s="51"/>
      <c r="C249" s="62"/>
      <c r="D249" s="13"/>
      <c r="E249" s="64"/>
      <c r="F249" s="64"/>
      <c r="G249" s="38"/>
      <c r="H249" s="64"/>
      <c r="I249" s="13"/>
      <c r="J249" s="64"/>
      <c r="K249" s="63"/>
      <c r="L249" s="63"/>
      <c r="M249" s="64"/>
      <c r="N249" s="13"/>
      <c r="Q249" s="26" t="s">
        <v>422</v>
      </c>
      <c r="R249" s="26"/>
      <c r="S249" s="65"/>
      <c r="T249" s="65"/>
      <c r="U249" s="13"/>
    </row>
    <row r="250">
      <c r="B250" s="51"/>
      <c r="C250" s="62"/>
      <c r="D250" s="13"/>
      <c r="E250" s="64"/>
      <c r="F250" s="64"/>
      <c r="G250" s="38"/>
      <c r="H250" s="64"/>
      <c r="I250" s="13"/>
      <c r="J250" s="64"/>
      <c r="K250" s="63"/>
      <c r="L250" s="63"/>
      <c r="M250" s="64"/>
      <c r="N250" s="13"/>
      <c r="Q250" s="26" t="s">
        <v>422</v>
      </c>
      <c r="R250" s="26"/>
      <c r="S250" s="65"/>
      <c r="T250" s="65"/>
      <c r="U250" s="13"/>
    </row>
    <row r="251">
      <c r="B251" s="51"/>
      <c r="C251" s="62"/>
      <c r="D251" s="13"/>
      <c r="E251" s="64"/>
      <c r="F251" s="64"/>
      <c r="G251" s="38"/>
      <c r="H251" s="64"/>
      <c r="I251" s="13"/>
      <c r="J251" s="64"/>
      <c r="K251" s="63"/>
      <c r="L251" s="63"/>
      <c r="M251" s="64"/>
      <c r="N251" s="13"/>
      <c r="Q251" s="26" t="s">
        <v>422</v>
      </c>
      <c r="R251" s="26"/>
      <c r="S251" s="65"/>
      <c r="T251" s="65"/>
      <c r="U251" s="13"/>
    </row>
    <row r="252">
      <c r="B252" s="51"/>
      <c r="C252" s="62"/>
      <c r="D252" s="13"/>
      <c r="E252" s="64"/>
      <c r="F252" s="64"/>
      <c r="G252" s="38"/>
      <c r="H252" s="64"/>
      <c r="I252" s="13"/>
      <c r="J252" s="64"/>
      <c r="K252" s="63"/>
      <c r="L252" s="63"/>
      <c r="M252" s="64"/>
      <c r="N252" s="13"/>
      <c r="Q252" s="26" t="s">
        <v>422</v>
      </c>
      <c r="R252" s="26"/>
      <c r="S252" s="65"/>
      <c r="T252" s="65"/>
      <c r="U252" s="13"/>
    </row>
    <row r="253">
      <c r="B253" s="51"/>
      <c r="C253" s="62"/>
      <c r="D253" s="13"/>
      <c r="E253" s="64"/>
      <c r="F253" s="64"/>
      <c r="G253" s="38"/>
      <c r="H253" s="64"/>
      <c r="I253" s="13"/>
      <c r="J253" s="64"/>
      <c r="K253" s="63"/>
      <c r="L253" s="63"/>
      <c r="M253" s="64"/>
      <c r="N253" s="13"/>
      <c r="Q253" s="26" t="s">
        <v>422</v>
      </c>
      <c r="R253" s="26"/>
      <c r="S253" s="65"/>
      <c r="T253" s="65"/>
      <c r="U253" s="13"/>
    </row>
    <row r="254">
      <c r="B254" s="51"/>
      <c r="C254" s="62"/>
      <c r="D254" s="13"/>
      <c r="E254" s="64"/>
      <c r="F254" s="64"/>
      <c r="G254" s="38"/>
      <c r="H254" s="64"/>
      <c r="I254" s="13"/>
      <c r="J254" s="64"/>
      <c r="K254" s="63"/>
      <c r="L254" s="63"/>
      <c r="M254" s="64"/>
      <c r="N254" s="13"/>
      <c r="Q254" s="26" t="s">
        <v>422</v>
      </c>
      <c r="R254" s="26"/>
      <c r="S254" s="65"/>
      <c r="T254" s="65"/>
      <c r="U254" s="13"/>
    </row>
    <row r="255">
      <c r="B255" s="51"/>
      <c r="C255" s="62"/>
      <c r="D255" s="13"/>
      <c r="E255" s="64"/>
      <c r="F255" s="64"/>
      <c r="G255" s="38"/>
      <c r="H255" s="64"/>
      <c r="I255" s="13"/>
      <c r="J255" s="64"/>
      <c r="K255" s="63"/>
      <c r="L255" s="63"/>
      <c r="M255" s="64"/>
      <c r="N255" s="13"/>
      <c r="Q255" s="26" t="s">
        <v>422</v>
      </c>
      <c r="R255" s="26"/>
      <c r="S255" s="65"/>
      <c r="T255" s="65"/>
      <c r="U255" s="13"/>
    </row>
    <row r="256">
      <c r="B256" s="51"/>
      <c r="C256" s="62"/>
      <c r="D256" s="13"/>
      <c r="E256" s="64"/>
      <c r="F256" s="64"/>
      <c r="G256" s="38"/>
      <c r="H256" s="64"/>
      <c r="I256" s="13"/>
      <c r="J256" s="64"/>
      <c r="K256" s="63"/>
      <c r="L256" s="63"/>
      <c r="M256" s="64"/>
      <c r="N256" s="13"/>
      <c r="Q256" s="26" t="s">
        <v>422</v>
      </c>
      <c r="R256" s="26"/>
      <c r="S256" s="65"/>
      <c r="T256" s="65"/>
      <c r="U256" s="13"/>
    </row>
    <row r="257">
      <c r="B257" s="51"/>
      <c r="C257" s="62"/>
      <c r="D257" s="13"/>
      <c r="E257" s="64"/>
      <c r="F257" s="64"/>
      <c r="G257" s="38"/>
      <c r="H257" s="64"/>
      <c r="I257" s="13"/>
      <c r="J257" s="64"/>
      <c r="K257" s="63"/>
      <c r="L257" s="63"/>
      <c r="M257" s="64"/>
      <c r="N257" s="13"/>
      <c r="Q257" s="26" t="s">
        <v>422</v>
      </c>
      <c r="R257" s="26"/>
      <c r="S257" s="65"/>
      <c r="T257" s="65"/>
      <c r="U257" s="13"/>
    </row>
    <row r="258">
      <c r="B258" s="51"/>
      <c r="C258" s="62"/>
      <c r="D258" s="13"/>
      <c r="E258" s="64"/>
      <c r="F258" s="64"/>
      <c r="G258" s="38"/>
      <c r="H258" s="64"/>
      <c r="I258" s="13"/>
      <c r="J258" s="64"/>
      <c r="K258" s="63"/>
      <c r="L258" s="63"/>
      <c r="M258" s="64"/>
      <c r="N258" s="13"/>
      <c r="Q258" s="26" t="s">
        <v>422</v>
      </c>
      <c r="R258" s="26"/>
      <c r="S258" s="65"/>
      <c r="T258" s="65"/>
      <c r="U258" s="13"/>
    </row>
    <row r="259">
      <c r="B259" s="51"/>
      <c r="C259" s="62"/>
      <c r="D259" s="13"/>
      <c r="E259" s="64"/>
      <c r="F259" s="64"/>
      <c r="G259" s="38"/>
      <c r="H259" s="64"/>
      <c r="I259" s="13"/>
      <c r="J259" s="64"/>
      <c r="K259" s="63"/>
      <c r="L259" s="63"/>
      <c r="M259" s="64"/>
      <c r="N259" s="13"/>
      <c r="Q259" s="26" t="s">
        <v>422</v>
      </c>
      <c r="R259" s="26"/>
      <c r="S259" s="65"/>
      <c r="T259" s="65"/>
      <c r="U259" s="13"/>
    </row>
    <row r="260">
      <c r="B260" s="51"/>
      <c r="C260" s="62"/>
      <c r="D260" s="13"/>
      <c r="E260" s="64"/>
      <c r="F260" s="64"/>
      <c r="G260" s="38"/>
      <c r="H260" s="64"/>
      <c r="I260" s="13"/>
      <c r="J260" s="64"/>
      <c r="K260" s="63"/>
      <c r="L260" s="63"/>
      <c r="M260" s="64"/>
      <c r="N260" s="13"/>
      <c r="Q260" s="26" t="s">
        <v>422</v>
      </c>
      <c r="R260" s="26"/>
      <c r="S260" s="65"/>
      <c r="T260" s="65"/>
      <c r="U260" s="13"/>
    </row>
    <row r="261">
      <c r="B261" s="51"/>
      <c r="C261" s="62"/>
      <c r="D261" s="13"/>
      <c r="E261" s="64"/>
      <c r="F261" s="64"/>
      <c r="G261" s="38"/>
      <c r="H261" s="64"/>
      <c r="I261" s="13"/>
      <c r="J261" s="64"/>
      <c r="K261" s="63"/>
      <c r="L261" s="63"/>
      <c r="M261" s="64"/>
      <c r="N261" s="13"/>
      <c r="Q261" s="26" t="s">
        <v>422</v>
      </c>
      <c r="R261" s="26"/>
      <c r="S261" s="65"/>
      <c r="T261" s="65"/>
      <c r="U261" s="13"/>
    </row>
    <row r="262">
      <c r="B262" s="51"/>
      <c r="C262" s="62"/>
      <c r="D262" s="13"/>
      <c r="E262" s="64"/>
      <c r="F262" s="64"/>
      <c r="G262" s="64"/>
      <c r="H262" s="64"/>
      <c r="I262" s="13"/>
      <c r="J262" s="64"/>
      <c r="K262" s="63"/>
      <c r="L262" s="63"/>
      <c r="M262" s="64"/>
      <c r="N262" s="13"/>
      <c r="Q262" s="26" t="s">
        <v>422</v>
      </c>
      <c r="R262" s="26"/>
      <c r="S262" s="65"/>
      <c r="T262" s="65"/>
      <c r="U262" s="13"/>
    </row>
    <row r="263">
      <c r="B263" s="51"/>
      <c r="C263" s="62"/>
      <c r="D263" s="13"/>
      <c r="E263" s="64"/>
      <c r="F263" s="64"/>
      <c r="G263" s="64"/>
      <c r="H263" s="64"/>
      <c r="I263" s="13"/>
      <c r="J263" s="64"/>
      <c r="K263" s="63"/>
      <c r="L263" s="63"/>
      <c r="M263" s="64"/>
      <c r="N263" s="13"/>
      <c r="Q263" s="26" t="s">
        <v>422</v>
      </c>
      <c r="R263" s="26"/>
      <c r="S263" s="65"/>
      <c r="T263" s="65"/>
      <c r="U263" s="13"/>
    </row>
    <row r="264">
      <c r="B264" s="51"/>
      <c r="C264" s="62"/>
      <c r="D264" s="13"/>
      <c r="E264" s="64"/>
      <c r="F264" s="64"/>
      <c r="G264" s="64"/>
      <c r="H264" s="64"/>
      <c r="I264" s="13"/>
      <c r="J264" s="64"/>
      <c r="K264" s="63"/>
      <c r="L264" s="63"/>
      <c r="M264" s="64"/>
      <c r="N264" s="13"/>
      <c r="Q264" s="26" t="s">
        <v>422</v>
      </c>
      <c r="R264" s="26"/>
      <c r="S264" s="65"/>
      <c r="T264" s="65"/>
      <c r="U264" s="13"/>
    </row>
    <row r="265">
      <c r="B265" s="51"/>
      <c r="C265" s="62"/>
      <c r="D265" s="13"/>
      <c r="E265" s="64"/>
      <c r="F265" s="64"/>
      <c r="G265" s="64"/>
      <c r="H265" s="64"/>
      <c r="I265" s="13"/>
      <c r="J265" s="64"/>
      <c r="K265" s="63"/>
      <c r="L265" s="63"/>
      <c r="M265" s="64"/>
      <c r="N265" s="13"/>
      <c r="Q265" s="26" t="s">
        <v>422</v>
      </c>
      <c r="R265" s="26"/>
      <c r="S265" s="65"/>
      <c r="T265" s="65"/>
      <c r="U265" s="13"/>
    </row>
    <row r="266">
      <c r="B266" s="51"/>
      <c r="C266" s="62"/>
      <c r="D266" s="13"/>
      <c r="E266" s="64"/>
      <c r="F266" s="64"/>
      <c r="G266" s="64"/>
      <c r="H266" s="64"/>
      <c r="I266" s="13"/>
      <c r="J266" s="64"/>
      <c r="K266" s="63"/>
      <c r="L266" s="63"/>
      <c r="M266" s="64"/>
      <c r="N266" s="13"/>
      <c r="Q266" s="26" t="s">
        <v>422</v>
      </c>
      <c r="R266" s="26"/>
      <c r="S266" s="65"/>
      <c r="T266" s="65"/>
      <c r="U266" s="13"/>
    </row>
    <row r="267">
      <c r="B267" s="51"/>
      <c r="C267" s="62"/>
      <c r="D267" s="13"/>
      <c r="E267" s="64"/>
      <c r="F267" s="64"/>
      <c r="G267" s="64"/>
      <c r="H267" s="64"/>
      <c r="I267" s="13"/>
      <c r="J267" s="64"/>
      <c r="K267" s="63"/>
      <c r="L267" s="63"/>
      <c r="M267" s="64"/>
      <c r="N267" s="13"/>
      <c r="Q267" s="26" t="s">
        <v>422</v>
      </c>
      <c r="R267" s="26"/>
      <c r="S267" s="65"/>
      <c r="T267" s="65"/>
      <c r="U267" s="13"/>
    </row>
    <row r="268">
      <c r="B268" s="51"/>
      <c r="C268" s="62"/>
      <c r="D268" s="13"/>
      <c r="E268" s="64"/>
      <c r="F268" s="64"/>
      <c r="G268" s="64"/>
      <c r="H268" s="64"/>
      <c r="I268" s="13"/>
      <c r="J268" s="64"/>
      <c r="K268" s="63"/>
      <c r="L268" s="63"/>
      <c r="M268" s="64"/>
      <c r="N268" s="13"/>
      <c r="Q268" s="26" t="s">
        <v>422</v>
      </c>
      <c r="R268" s="26"/>
      <c r="S268" s="65"/>
      <c r="T268" s="65"/>
      <c r="U268" s="13"/>
    </row>
    <row r="269">
      <c r="B269" s="51"/>
      <c r="C269" s="62"/>
      <c r="D269" s="13"/>
      <c r="E269" s="64"/>
      <c r="F269" s="64"/>
      <c r="G269" s="64"/>
      <c r="H269" s="64"/>
      <c r="I269" s="13"/>
      <c r="J269" s="64"/>
      <c r="K269" s="63"/>
      <c r="L269" s="63"/>
      <c r="M269" s="64"/>
      <c r="N269" s="13"/>
      <c r="Q269" s="26" t="s">
        <v>422</v>
      </c>
      <c r="R269" s="26"/>
      <c r="S269" s="65"/>
      <c r="T269" s="65"/>
      <c r="U269" s="13"/>
    </row>
    <row r="270">
      <c r="B270" s="51"/>
      <c r="C270" s="62"/>
      <c r="D270" s="13"/>
      <c r="E270" s="64"/>
      <c r="F270" s="64"/>
      <c r="G270" s="64"/>
      <c r="H270" s="64"/>
      <c r="I270" s="13"/>
      <c r="J270" s="64"/>
      <c r="K270" s="63"/>
      <c r="L270" s="63"/>
      <c r="M270" s="64"/>
      <c r="N270" s="13"/>
      <c r="Q270" s="26" t="s">
        <v>422</v>
      </c>
      <c r="R270" s="26"/>
      <c r="S270" s="65"/>
      <c r="T270" s="65"/>
      <c r="U270" s="13"/>
    </row>
    <row r="271">
      <c r="B271" s="51"/>
      <c r="C271" s="62"/>
      <c r="D271" s="13"/>
      <c r="E271" s="64"/>
      <c r="F271" s="64"/>
      <c r="G271" s="64"/>
      <c r="H271" s="64"/>
      <c r="I271" s="13"/>
      <c r="J271" s="64"/>
      <c r="K271" s="63"/>
      <c r="L271" s="63"/>
      <c r="M271" s="64"/>
      <c r="N271" s="13"/>
      <c r="Q271" s="26" t="s">
        <v>422</v>
      </c>
      <c r="R271" s="26"/>
      <c r="S271" s="65"/>
      <c r="T271" s="65"/>
      <c r="U271" s="13"/>
    </row>
    <row r="272">
      <c r="B272" s="51"/>
      <c r="C272" s="62"/>
      <c r="D272" s="13"/>
      <c r="E272" s="64"/>
      <c r="F272" s="64"/>
      <c r="G272" s="64"/>
      <c r="H272" s="64"/>
      <c r="I272" s="13"/>
      <c r="J272" s="64"/>
      <c r="K272" s="63"/>
      <c r="L272" s="63"/>
      <c r="M272" s="64"/>
      <c r="N272" s="13"/>
      <c r="Q272" s="26" t="s">
        <v>422</v>
      </c>
      <c r="R272" s="26"/>
      <c r="S272" s="65"/>
      <c r="T272" s="65"/>
      <c r="U272" s="13"/>
    </row>
    <row r="273">
      <c r="B273" s="51"/>
      <c r="C273" s="62"/>
      <c r="D273" s="13"/>
      <c r="E273" s="64"/>
      <c r="F273" s="64"/>
      <c r="G273" s="64"/>
      <c r="H273" s="64"/>
      <c r="I273" s="13"/>
      <c r="J273" s="64"/>
      <c r="K273" s="63"/>
      <c r="L273" s="63"/>
      <c r="M273" s="64"/>
      <c r="N273" s="13"/>
      <c r="Q273" s="26" t="s">
        <v>422</v>
      </c>
      <c r="R273" s="26"/>
      <c r="S273" s="65"/>
      <c r="T273" s="65"/>
      <c r="U273" s="13"/>
    </row>
    <row r="274">
      <c r="B274" s="51"/>
      <c r="C274" s="62"/>
      <c r="D274" s="13"/>
      <c r="E274" s="64"/>
      <c r="F274" s="64"/>
      <c r="G274" s="64"/>
      <c r="H274" s="64"/>
      <c r="I274" s="13"/>
      <c r="J274" s="64"/>
      <c r="K274" s="63"/>
      <c r="L274" s="63"/>
      <c r="M274" s="64"/>
      <c r="N274" s="13"/>
      <c r="Q274" s="26" t="s">
        <v>422</v>
      </c>
      <c r="R274" s="26"/>
      <c r="S274" s="65"/>
      <c r="T274" s="65"/>
      <c r="U274" s="13"/>
    </row>
    <row r="275">
      <c r="B275" s="51"/>
      <c r="C275" s="62"/>
      <c r="D275" s="13"/>
      <c r="E275" s="64"/>
      <c r="F275" s="64"/>
      <c r="G275" s="64"/>
      <c r="H275" s="64"/>
      <c r="I275" s="13"/>
      <c r="J275" s="64"/>
      <c r="K275" s="63"/>
      <c r="L275" s="63"/>
      <c r="M275" s="64"/>
      <c r="N275" s="13"/>
      <c r="Q275" s="26" t="s">
        <v>422</v>
      </c>
      <c r="R275" s="26"/>
      <c r="S275" s="65"/>
      <c r="T275" s="65"/>
      <c r="U275" s="13"/>
    </row>
    <row r="276">
      <c r="B276" s="51"/>
      <c r="C276" s="62"/>
      <c r="D276" s="13"/>
      <c r="E276" s="64"/>
      <c r="F276" s="64"/>
      <c r="G276" s="64"/>
      <c r="H276" s="64"/>
      <c r="I276" s="13"/>
      <c r="J276" s="64"/>
      <c r="K276" s="63"/>
      <c r="L276" s="63"/>
      <c r="M276" s="64"/>
      <c r="N276" s="13"/>
      <c r="Q276" s="26" t="s">
        <v>422</v>
      </c>
      <c r="R276" s="26"/>
      <c r="S276" s="65"/>
      <c r="T276" s="65"/>
      <c r="U276" s="13"/>
    </row>
    <row r="277">
      <c r="B277" s="51"/>
      <c r="C277" s="62"/>
      <c r="D277" s="13"/>
      <c r="E277" s="64"/>
      <c r="F277" s="64"/>
      <c r="G277" s="64"/>
      <c r="H277" s="64"/>
      <c r="I277" s="13"/>
      <c r="J277" s="64"/>
      <c r="K277" s="63"/>
      <c r="L277" s="63"/>
      <c r="M277" s="64"/>
      <c r="N277" s="13"/>
      <c r="Q277" s="26" t="s">
        <v>422</v>
      </c>
      <c r="R277" s="26"/>
      <c r="S277" s="65"/>
      <c r="T277" s="65"/>
      <c r="U277" s="13"/>
    </row>
    <row r="278">
      <c r="B278" s="51"/>
      <c r="C278" s="62"/>
      <c r="D278" s="13"/>
      <c r="E278" s="64"/>
      <c r="F278" s="64"/>
      <c r="G278" s="64"/>
      <c r="H278" s="64"/>
      <c r="I278" s="13"/>
      <c r="J278" s="64"/>
      <c r="K278" s="63"/>
      <c r="L278" s="63"/>
      <c r="M278" s="64"/>
      <c r="N278" s="13"/>
      <c r="Q278" s="26" t="s">
        <v>422</v>
      </c>
      <c r="R278" s="26"/>
      <c r="S278" s="65"/>
      <c r="T278" s="65"/>
      <c r="U278" s="13"/>
    </row>
    <row r="279">
      <c r="B279" s="51"/>
      <c r="C279" s="62"/>
      <c r="D279" s="13"/>
      <c r="E279" s="64"/>
      <c r="F279" s="64"/>
      <c r="G279" s="64"/>
      <c r="H279" s="64"/>
      <c r="I279" s="13"/>
      <c r="J279" s="64"/>
      <c r="K279" s="63"/>
      <c r="L279" s="63"/>
      <c r="M279" s="64"/>
      <c r="N279" s="13"/>
      <c r="Q279" s="26" t="s">
        <v>422</v>
      </c>
      <c r="R279" s="26"/>
      <c r="S279" s="65"/>
      <c r="T279" s="65"/>
      <c r="U279" s="13"/>
    </row>
    <row r="280">
      <c r="B280" s="51"/>
      <c r="C280" s="62"/>
      <c r="D280" s="13"/>
      <c r="E280" s="64"/>
      <c r="F280" s="64"/>
      <c r="G280" s="64"/>
      <c r="H280" s="64"/>
      <c r="I280" s="13"/>
      <c r="J280" s="64"/>
      <c r="K280" s="63"/>
      <c r="L280" s="63"/>
      <c r="M280" s="64"/>
      <c r="N280" s="13"/>
      <c r="Q280" s="26" t="s">
        <v>422</v>
      </c>
      <c r="R280" s="26"/>
      <c r="S280" s="65"/>
      <c r="T280" s="65"/>
      <c r="U280" s="13"/>
    </row>
    <row r="281">
      <c r="B281" s="51"/>
      <c r="C281" s="62"/>
      <c r="D281" s="13"/>
      <c r="E281" s="64"/>
      <c r="F281" s="64"/>
      <c r="G281" s="64"/>
      <c r="H281" s="64"/>
      <c r="I281" s="13"/>
      <c r="J281" s="64"/>
      <c r="K281" s="63"/>
      <c r="L281" s="63"/>
      <c r="M281" s="64"/>
      <c r="N281" s="13"/>
      <c r="Q281" s="26" t="s">
        <v>422</v>
      </c>
      <c r="R281" s="26"/>
      <c r="S281" s="65"/>
      <c r="T281" s="65"/>
      <c r="U281" s="13"/>
    </row>
    <row r="282">
      <c r="B282" s="51"/>
      <c r="C282" s="62"/>
      <c r="D282" s="13"/>
      <c r="E282" s="64"/>
      <c r="F282" s="64"/>
      <c r="G282" s="64"/>
      <c r="H282" s="64"/>
      <c r="I282" s="13"/>
      <c r="J282" s="64"/>
      <c r="K282" s="63"/>
      <c r="L282" s="63"/>
      <c r="M282" s="64"/>
      <c r="N282" s="13"/>
      <c r="Q282" s="26" t="s">
        <v>422</v>
      </c>
      <c r="R282" s="26"/>
      <c r="S282" s="65"/>
      <c r="T282" s="65"/>
      <c r="U282" s="13"/>
    </row>
    <row r="283">
      <c r="B283" s="51"/>
      <c r="C283" s="62"/>
      <c r="D283" s="13"/>
      <c r="E283" s="64"/>
      <c r="F283" s="64"/>
      <c r="G283" s="64"/>
      <c r="H283" s="64"/>
      <c r="I283" s="13"/>
      <c r="J283" s="64"/>
      <c r="K283" s="63"/>
      <c r="L283" s="63"/>
      <c r="M283" s="64"/>
      <c r="N283" s="13"/>
      <c r="Q283" s="26" t="s">
        <v>422</v>
      </c>
      <c r="R283" s="26"/>
      <c r="S283" s="65"/>
      <c r="T283" s="65"/>
      <c r="U283" s="13"/>
    </row>
    <row r="284">
      <c r="B284" s="51"/>
      <c r="C284" s="62"/>
      <c r="D284" s="13"/>
      <c r="E284" s="64"/>
      <c r="F284" s="64"/>
      <c r="G284" s="64"/>
      <c r="H284" s="64"/>
      <c r="I284" s="13"/>
      <c r="J284" s="64"/>
      <c r="K284" s="63"/>
      <c r="L284" s="63"/>
      <c r="M284" s="64"/>
      <c r="N284" s="13"/>
      <c r="Q284" s="26" t="s">
        <v>422</v>
      </c>
      <c r="R284" s="26"/>
      <c r="S284" s="65"/>
      <c r="T284" s="65"/>
      <c r="U284" s="13"/>
    </row>
    <row r="285">
      <c r="B285" s="51"/>
      <c r="C285" s="62"/>
      <c r="D285" s="13"/>
      <c r="E285" s="64"/>
      <c r="F285" s="64"/>
      <c r="G285" s="64"/>
      <c r="H285" s="64"/>
      <c r="I285" s="13"/>
      <c r="J285" s="64"/>
      <c r="K285" s="63"/>
      <c r="L285" s="63"/>
      <c r="M285" s="64"/>
      <c r="N285" s="13"/>
      <c r="Q285" s="26" t="s">
        <v>422</v>
      </c>
      <c r="R285" s="26"/>
      <c r="S285" s="65"/>
      <c r="T285" s="65"/>
      <c r="U285" s="13"/>
    </row>
    <row r="286">
      <c r="B286" s="51"/>
      <c r="C286" s="62"/>
      <c r="D286" s="13"/>
      <c r="E286" s="64"/>
      <c r="F286" s="64"/>
      <c r="G286" s="64"/>
      <c r="H286" s="64"/>
      <c r="I286" s="13"/>
      <c r="J286" s="64"/>
      <c r="K286" s="63"/>
      <c r="L286" s="63"/>
      <c r="M286" s="64"/>
      <c r="N286" s="13"/>
      <c r="Q286" s="26" t="s">
        <v>422</v>
      </c>
      <c r="R286" s="26"/>
      <c r="S286" s="65"/>
      <c r="T286" s="65"/>
      <c r="U286" s="13"/>
    </row>
    <row r="287">
      <c r="B287" s="51"/>
      <c r="C287" s="62"/>
      <c r="D287" s="13"/>
      <c r="E287" s="64"/>
      <c r="F287" s="64"/>
      <c r="G287" s="64"/>
      <c r="H287" s="64"/>
      <c r="I287" s="13"/>
      <c r="J287" s="64"/>
      <c r="K287" s="63"/>
      <c r="L287" s="63"/>
      <c r="M287" s="64"/>
      <c r="N287" s="13"/>
      <c r="Q287" s="26" t="s">
        <v>422</v>
      </c>
      <c r="R287" s="26"/>
      <c r="S287" s="65"/>
      <c r="T287" s="65"/>
      <c r="U287" s="13"/>
    </row>
    <row r="288">
      <c r="B288" s="51"/>
      <c r="C288" s="62"/>
      <c r="D288" s="13"/>
      <c r="E288" s="64"/>
      <c r="F288" s="64"/>
      <c r="G288" s="64"/>
      <c r="H288" s="64"/>
      <c r="I288" s="13"/>
      <c r="J288" s="64"/>
      <c r="K288" s="63"/>
      <c r="L288" s="63"/>
      <c r="M288" s="64"/>
      <c r="N288" s="13"/>
      <c r="Q288" s="26" t="s">
        <v>422</v>
      </c>
      <c r="R288" s="26"/>
      <c r="S288" s="65"/>
      <c r="T288" s="65"/>
      <c r="U288" s="13"/>
    </row>
    <row r="289">
      <c r="B289" s="51"/>
      <c r="C289" s="62"/>
      <c r="D289" s="13"/>
      <c r="E289" s="64"/>
      <c r="F289" s="64"/>
      <c r="G289" s="64"/>
      <c r="H289" s="64"/>
      <c r="I289" s="13"/>
      <c r="J289" s="64"/>
      <c r="K289" s="63"/>
      <c r="L289" s="63"/>
      <c r="M289" s="64"/>
      <c r="N289" s="13"/>
      <c r="Q289" s="26" t="s">
        <v>422</v>
      </c>
      <c r="R289" s="26"/>
      <c r="S289" s="65"/>
      <c r="T289" s="65"/>
      <c r="U289" s="13"/>
    </row>
    <row r="290">
      <c r="B290" s="51"/>
      <c r="C290" s="62"/>
      <c r="D290" s="13"/>
      <c r="E290" s="64"/>
      <c r="F290" s="64"/>
      <c r="G290" s="64"/>
      <c r="H290" s="64"/>
      <c r="I290" s="13"/>
      <c r="J290" s="64"/>
      <c r="K290" s="63"/>
      <c r="L290" s="63"/>
      <c r="M290" s="64"/>
      <c r="N290" s="13"/>
      <c r="Q290" s="26" t="s">
        <v>422</v>
      </c>
      <c r="R290" s="26"/>
      <c r="S290" s="65"/>
      <c r="T290" s="65"/>
      <c r="U290" s="13"/>
    </row>
    <row r="291">
      <c r="B291" s="51"/>
      <c r="C291" s="62"/>
      <c r="D291" s="13"/>
      <c r="E291" s="64"/>
      <c r="F291" s="64"/>
      <c r="G291" s="64"/>
      <c r="H291" s="64"/>
      <c r="I291" s="13"/>
      <c r="J291" s="64"/>
      <c r="K291" s="63"/>
      <c r="L291" s="63"/>
      <c r="M291" s="64"/>
      <c r="N291" s="13"/>
      <c r="Q291" s="26" t="s">
        <v>422</v>
      </c>
      <c r="R291" s="26"/>
      <c r="S291" s="65"/>
      <c r="T291" s="65"/>
      <c r="U291" s="13"/>
    </row>
    <row r="292">
      <c r="B292" s="51"/>
      <c r="C292" s="62"/>
      <c r="D292" s="13"/>
      <c r="E292" s="64"/>
      <c r="F292" s="64"/>
      <c r="G292" s="64"/>
      <c r="H292" s="64"/>
      <c r="I292" s="13"/>
      <c r="J292" s="64"/>
      <c r="K292" s="63"/>
      <c r="L292" s="63"/>
      <c r="M292" s="64"/>
      <c r="N292" s="13"/>
      <c r="Q292" s="26" t="s">
        <v>422</v>
      </c>
      <c r="R292" s="26"/>
      <c r="S292" s="65"/>
      <c r="T292" s="65"/>
      <c r="U292" s="13"/>
    </row>
    <row r="293">
      <c r="B293" s="51"/>
      <c r="C293" s="62"/>
      <c r="D293" s="13"/>
      <c r="E293" s="64"/>
      <c r="F293" s="64"/>
      <c r="G293" s="64"/>
      <c r="H293" s="64"/>
      <c r="I293" s="13"/>
      <c r="J293" s="64"/>
      <c r="K293" s="63"/>
      <c r="L293" s="63"/>
      <c r="M293" s="64"/>
      <c r="N293" s="13"/>
      <c r="Q293" s="26" t="s">
        <v>422</v>
      </c>
      <c r="R293" s="26"/>
      <c r="S293" s="65"/>
      <c r="T293" s="65"/>
      <c r="U293" s="13"/>
    </row>
    <row r="294">
      <c r="B294" s="51"/>
      <c r="C294" s="62"/>
      <c r="D294" s="13"/>
      <c r="E294" s="64"/>
      <c r="F294" s="64"/>
      <c r="G294" s="64"/>
      <c r="H294" s="64"/>
      <c r="I294" s="13"/>
      <c r="J294" s="64"/>
      <c r="K294" s="63"/>
      <c r="L294" s="63"/>
      <c r="M294" s="64"/>
      <c r="N294" s="13"/>
      <c r="Q294" s="26" t="s">
        <v>422</v>
      </c>
      <c r="R294" s="26"/>
      <c r="S294" s="65"/>
      <c r="T294" s="65"/>
      <c r="U294" s="13"/>
    </row>
    <row r="295">
      <c r="B295" s="51"/>
      <c r="C295" s="62"/>
      <c r="D295" s="13"/>
      <c r="E295" s="64"/>
      <c r="F295" s="64"/>
      <c r="G295" s="64"/>
      <c r="H295" s="64"/>
      <c r="I295" s="13"/>
      <c r="J295" s="64"/>
      <c r="K295" s="63"/>
      <c r="L295" s="63"/>
      <c r="M295" s="64"/>
      <c r="N295" s="13"/>
      <c r="Q295" s="26" t="s">
        <v>422</v>
      </c>
      <c r="R295" s="26"/>
      <c r="S295" s="65"/>
      <c r="T295" s="65"/>
      <c r="U295" s="13"/>
    </row>
    <row r="296">
      <c r="B296" s="51"/>
      <c r="C296" s="62"/>
      <c r="D296" s="13"/>
      <c r="E296" s="64"/>
      <c r="F296" s="64"/>
      <c r="G296" s="64"/>
      <c r="H296" s="64"/>
      <c r="I296" s="13"/>
      <c r="J296" s="64"/>
      <c r="K296" s="63"/>
      <c r="L296" s="63"/>
      <c r="M296" s="64"/>
      <c r="N296" s="13"/>
      <c r="Q296" s="26" t="s">
        <v>422</v>
      </c>
      <c r="R296" s="26"/>
      <c r="S296" s="65"/>
      <c r="T296" s="65"/>
      <c r="U296" s="13"/>
    </row>
    <row r="297">
      <c r="B297" s="51"/>
      <c r="C297" s="62"/>
      <c r="D297" s="13"/>
      <c r="E297" s="64"/>
      <c r="F297" s="64"/>
      <c r="G297" s="64"/>
      <c r="H297" s="64"/>
      <c r="I297" s="13"/>
      <c r="J297" s="64"/>
      <c r="K297" s="63"/>
      <c r="L297" s="63"/>
      <c r="M297" s="64"/>
      <c r="N297" s="13"/>
      <c r="Q297" s="26" t="s">
        <v>422</v>
      </c>
      <c r="R297" s="26"/>
      <c r="S297" s="65"/>
      <c r="T297" s="65"/>
      <c r="U297" s="13"/>
    </row>
    <row r="298">
      <c r="B298" s="51"/>
      <c r="C298" s="62"/>
      <c r="D298" s="13"/>
      <c r="E298" s="64"/>
      <c r="F298" s="64"/>
      <c r="G298" s="64"/>
      <c r="H298" s="64"/>
      <c r="I298" s="13"/>
      <c r="J298" s="64"/>
      <c r="K298" s="63"/>
      <c r="L298" s="63"/>
      <c r="M298" s="64"/>
      <c r="N298" s="13"/>
      <c r="Q298" s="26" t="s">
        <v>422</v>
      </c>
      <c r="R298" s="26"/>
      <c r="S298" s="65"/>
      <c r="T298" s="65"/>
      <c r="U298" s="13"/>
    </row>
    <row r="299">
      <c r="B299" s="51"/>
      <c r="C299" s="62"/>
      <c r="D299" s="13"/>
      <c r="E299" s="64"/>
      <c r="F299" s="64"/>
      <c r="G299" s="64"/>
      <c r="H299" s="64"/>
      <c r="I299" s="13"/>
      <c r="J299" s="64"/>
      <c r="K299" s="63"/>
      <c r="L299" s="63"/>
      <c r="M299" s="64"/>
      <c r="N299" s="13"/>
      <c r="Q299" s="26" t="s">
        <v>422</v>
      </c>
      <c r="R299" s="26"/>
      <c r="S299" s="65"/>
      <c r="T299" s="65"/>
      <c r="U299" s="13"/>
    </row>
    <row r="300">
      <c r="B300" s="51"/>
      <c r="C300" s="62"/>
      <c r="D300" s="13"/>
      <c r="E300" s="64"/>
      <c r="F300" s="64"/>
      <c r="G300" s="64"/>
      <c r="H300" s="64"/>
      <c r="I300" s="13"/>
      <c r="J300" s="64"/>
      <c r="K300" s="63"/>
      <c r="L300" s="63"/>
      <c r="M300" s="64"/>
      <c r="N300" s="13"/>
      <c r="Q300" s="26" t="s">
        <v>422</v>
      </c>
      <c r="R300" s="26"/>
      <c r="S300" s="65"/>
      <c r="T300" s="65"/>
      <c r="U300" s="13"/>
    </row>
    <row r="301">
      <c r="B301" s="51"/>
      <c r="C301" s="62"/>
      <c r="D301" s="13"/>
      <c r="E301" s="64"/>
      <c r="F301" s="64"/>
      <c r="G301" s="64"/>
      <c r="H301" s="64"/>
      <c r="I301" s="13"/>
      <c r="J301" s="64"/>
      <c r="K301" s="63"/>
      <c r="L301" s="63"/>
      <c r="M301" s="64"/>
      <c r="N301" s="13"/>
      <c r="Q301" s="26" t="s">
        <v>422</v>
      </c>
      <c r="R301" s="26"/>
      <c r="S301" s="65"/>
      <c r="T301" s="65"/>
      <c r="U301" s="13"/>
    </row>
    <row r="302">
      <c r="B302" s="51"/>
      <c r="C302" s="62"/>
      <c r="D302" s="13"/>
      <c r="E302" s="64"/>
      <c r="F302" s="64"/>
      <c r="G302" s="64"/>
      <c r="H302" s="64"/>
      <c r="I302" s="13"/>
      <c r="J302" s="64"/>
      <c r="K302" s="63"/>
      <c r="L302" s="63"/>
      <c r="M302" s="64"/>
      <c r="N302" s="13"/>
      <c r="Q302" s="26" t="s">
        <v>422</v>
      </c>
      <c r="R302" s="26"/>
      <c r="S302" s="65"/>
      <c r="T302" s="65"/>
      <c r="U302" s="13"/>
    </row>
    <row r="303">
      <c r="B303" s="51"/>
      <c r="C303" s="62"/>
      <c r="D303" s="13"/>
      <c r="E303" s="64"/>
      <c r="F303" s="64"/>
      <c r="G303" s="64"/>
      <c r="H303" s="64"/>
      <c r="I303" s="13"/>
      <c r="J303" s="64"/>
      <c r="K303" s="63"/>
      <c r="L303" s="63"/>
      <c r="M303" s="64"/>
      <c r="N303" s="13"/>
      <c r="Q303" s="26" t="s">
        <v>422</v>
      </c>
      <c r="R303" s="26"/>
      <c r="S303" s="65"/>
      <c r="T303" s="65"/>
      <c r="U303" s="13"/>
    </row>
    <row r="304">
      <c r="B304" s="51"/>
      <c r="C304" s="62"/>
      <c r="D304" s="13"/>
      <c r="E304" s="64"/>
      <c r="F304" s="64"/>
      <c r="G304" s="64"/>
      <c r="H304" s="64"/>
      <c r="I304" s="13"/>
      <c r="J304" s="64"/>
      <c r="K304" s="63"/>
      <c r="L304" s="63"/>
      <c r="M304" s="64"/>
      <c r="N304" s="13"/>
      <c r="Q304" s="26" t="s">
        <v>422</v>
      </c>
      <c r="R304" s="26"/>
      <c r="S304" s="65"/>
      <c r="T304" s="65"/>
      <c r="U304" s="13"/>
    </row>
    <row r="305">
      <c r="B305" s="51"/>
      <c r="C305" s="62"/>
      <c r="D305" s="13"/>
      <c r="E305" s="64"/>
      <c r="F305" s="64"/>
      <c r="G305" s="64"/>
      <c r="H305" s="64"/>
      <c r="I305" s="13"/>
      <c r="J305" s="64"/>
      <c r="K305" s="63"/>
      <c r="L305" s="63"/>
      <c r="M305" s="64"/>
      <c r="N305" s="13"/>
      <c r="Q305" s="26" t="s">
        <v>422</v>
      </c>
      <c r="R305" s="26"/>
      <c r="S305" s="65"/>
      <c r="T305" s="65"/>
      <c r="U305" s="13"/>
    </row>
    <row r="306">
      <c r="B306" s="51"/>
      <c r="C306" s="62"/>
      <c r="D306" s="13"/>
      <c r="E306" s="64"/>
      <c r="F306" s="64"/>
      <c r="G306" s="64"/>
      <c r="H306" s="64"/>
      <c r="I306" s="13"/>
      <c r="J306" s="64"/>
      <c r="K306" s="63"/>
      <c r="L306" s="63"/>
      <c r="M306" s="64"/>
      <c r="N306" s="13"/>
      <c r="Q306" s="26" t="s">
        <v>422</v>
      </c>
      <c r="R306" s="26"/>
      <c r="S306" s="65"/>
      <c r="T306" s="65"/>
      <c r="U306" s="13"/>
    </row>
    <row r="307">
      <c r="B307" s="51"/>
      <c r="C307" s="62"/>
      <c r="D307" s="13"/>
      <c r="E307" s="64"/>
      <c r="F307" s="64"/>
      <c r="G307" s="64"/>
      <c r="H307" s="64"/>
      <c r="I307" s="13"/>
      <c r="J307" s="64"/>
      <c r="K307" s="63"/>
      <c r="L307" s="63"/>
      <c r="M307" s="64"/>
      <c r="N307" s="13"/>
      <c r="Q307" s="26" t="s">
        <v>422</v>
      </c>
      <c r="R307" s="26"/>
      <c r="S307" s="65"/>
      <c r="T307" s="65"/>
      <c r="U307" s="13"/>
    </row>
    <row r="308">
      <c r="B308" s="51"/>
      <c r="C308" s="62"/>
      <c r="D308" s="13"/>
      <c r="E308" s="64"/>
      <c r="F308" s="64"/>
      <c r="G308" s="64"/>
      <c r="H308" s="64"/>
      <c r="I308" s="13"/>
      <c r="J308" s="64"/>
      <c r="K308" s="63"/>
      <c r="L308" s="63"/>
      <c r="M308" s="64"/>
      <c r="N308" s="13"/>
      <c r="Q308" s="26" t="s">
        <v>422</v>
      </c>
      <c r="R308" s="26"/>
      <c r="S308" s="65"/>
      <c r="T308" s="65"/>
      <c r="U308" s="13"/>
    </row>
    <row r="309">
      <c r="B309" s="51"/>
      <c r="C309" s="62"/>
      <c r="D309" s="13"/>
      <c r="E309" s="64"/>
      <c r="F309" s="64"/>
      <c r="G309" s="64"/>
      <c r="H309" s="64"/>
      <c r="I309" s="13"/>
      <c r="J309" s="64"/>
      <c r="K309" s="63"/>
      <c r="L309" s="63"/>
      <c r="M309" s="64"/>
      <c r="N309" s="13"/>
      <c r="Q309" s="26" t="s">
        <v>422</v>
      </c>
      <c r="R309" s="26"/>
      <c r="S309" s="65"/>
      <c r="T309" s="65"/>
      <c r="U309" s="13"/>
    </row>
    <row r="310">
      <c r="B310" s="51"/>
      <c r="C310" s="62"/>
      <c r="D310" s="13"/>
      <c r="E310" s="64"/>
      <c r="F310" s="64"/>
      <c r="G310" s="64"/>
      <c r="H310" s="64"/>
      <c r="I310" s="13"/>
      <c r="J310" s="64"/>
      <c r="K310" s="63"/>
      <c r="L310" s="63"/>
      <c r="M310" s="64"/>
      <c r="N310" s="13"/>
      <c r="Q310" s="26" t="s">
        <v>422</v>
      </c>
      <c r="R310" s="26"/>
      <c r="S310" s="65"/>
      <c r="T310" s="65"/>
      <c r="U310" s="13"/>
    </row>
    <row r="311">
      <c r="B311" s="51"/>
      <c r="C311" s="62"/>
      <c r="D311" s="13"/>
      <c r="E311" s="64"/>
      <c r="F311" s="64"/>
      <c r="G311" s="64"/>
      <c r="H311" s="64"/>
      <c r="I311" s="13"/>
      <c r="J311" s="64"/>
      <c r="K311" s="63"/>
      <c r="L311" s="63"/>
      <c r="M311" s="64"/>
      <c r="N311" s="13"/>
      <c r="Q311" s="26" t="s">
        <v>422</v>
      </c>
      <c r="R311" s="26"/>
      <c r="S311" s="65"/>
      <c r="T311" s="65"/>
      <c r="U311" s="13"/>
    </row>
    <row r="312">
      <c r="B312" s="51"/>
      <c r="C312" s="62"/>
      <c r="D312" s="13"/>
      <c r="E312" s="64"/>
      <c r="F312" s="64"/>
      <c r="G312" s="64"/>
      <c r="H312" s="64"/>
      <c r="I312" s="13"/>
      <c r="J312" s="64"/>
      <c r="K312" s="63"/>
      <c r="L312" s="63"/>
      <c r="M312" s="64"/>
      <c r="N312" s="13"/>
      <c r="Q312" s="26" t="s">
        <v>422</v>
      </c>
      <c r="R312" s="26"/>
      <c r="S312" s="65"/>
      <c r="T312" s="65"/>
      <c r="U312" s="13"/>
    </row>
    <row r="313">
      <c r="B313" s="51"/>
      <c r="C313" s="62"/>
      <c r="D313" s="13"/>
      <c r="E313" s="64"/>
      <c r="F313" s="64"/>
      <c r="G313" s="64"/>
      <c r="H313" s="64"/>
      <c r="I313" s="13"/>
      <c r="J313" s="64"/>
      <c r="K313" s="63"/>
      <c r="L313" s="63"/>
      <c r="M313" s="64"/>
      <c r="N313" s="13"/>
      <c r="Q313" s="26" t="s">
        <v>422</v>
      </c>
      <c r="R313" s="26"/>
      <c r="S313" s="65"/>
      <c r="T313" s="65"/>
      <c r="U313" s="13"/>
    </row>
    <row r="314">
      <c r="B314" s="51"/>
      <c r="C314" s="62"/>
      <c r="D314" s="13"/>
      <c r="E314" s="64"/>
      <c r="F314" s="64"/>
      <c r="G314" s="64"/>
      <c r="H314" s="64"/>
      <c r="I314" s="13"/>
      <c r="J314" s="64"/>
      <c r="K314" s="63"/>
      <c r="L314" s="63"/>
      <c r="M314" s="64"/>
      <c r="N314" s="13"/>
      <c r="Q314" s="26" t="s">
        <v>422</v>
      </c>
      <c r="R314" s="26"/>
      <c r="S314" s="65"/>
      <c r="T314" s="65"/>
      <c r="U314" s="13"/>
    </row>
    <row r="315">
      <c r="B315" s="51"/>
      <c r="C315" s="62"/>
      <c r="D315" s="13"/>
      <c r="E315" s="64"/>
      <c r="F315" s="64"/>
      <c r="G315" s="64"/>
      <c r="H315" s="64"/>
      <c r="I315" s="13"/>
      <c r="J315" s="64"/>
      <c r="K315" s="63"/>
      <c r="L315" s="63"/>
      <c r="M315" s="64"/>
      <c r="N315" s="13"/>
      <c r="Q315" s="26" t="s">
        <v>422</v>
      </c>
      <c r="R315" s="26"/>
      <c r="S315" s="65"/>
      <c r="T315" s="65"/>
      <c r="U315" s="13"/>
    </row>
    <row r="316">
      <c r="B316" s="51"/>
      <c r="C316" s="62"/>
      <c r="D316" s="13"/>
      <c r="E316" s="64"/>
      <c r="F316" s="64"/>
      <c r="G316" s="64"/>
      <c r="H316" s="64"/>
      <c r="I316" s="13"/>
      <c r="J316" s="64"/>
      <c r="K316" s="63"/>
      <c r="L316" s="63"/>
      <c r="M316" s="64"/>
      <c r="N316" s="13"/>
      <c r="Q316" s="26" t="s">
        <v>422</v>
      </c>
      <c r="R316" s="26"/>
      <c r="S316" s="65"/>
      <c r="T316" s="65"/>
      <c r="U316" s="13"/>
    </row>
    <row r="317">
      <c r="B317" s="51"/>
      <c r="C317" s="62"/>
      <c r="D317" s="13"/>
      <c r="E317" s="64"/>
      <c r="F317" s="64"/>
      <c r="G317" s="64"/>
      <c r="H317" s="64"/>
      <c r="I317" s="13"/>
      <c r="J317" s="64"/>
      <c r="K317" s="63"/>
      <c r="L317" s="63"/>
      <c r="M317" s="64"/>
      <c r="N317" s="13"/>
      <c r="Q317" s="26" t="s">
        <v>422</v>
      </c>
      <c r="R317" s="26"/>
      <c r="S317" s="65"/>
      <c r="T317" s="65"/>
      <c r="U317" s="13"/>
    </row>
    <row r="318">
      <c r="B318" s="51"/>
      <c r="C318" s="62"/>
      <c r="D318" s="13"/>
      <c r="E318" s="64"/>
      <c r="F318" s="64"/>
      <c r="G318" s="64"/>
      <c r="H318" s="64"/>
      <c r="I318" s="13"/>
      <c r="J318" s="64"/>
      <c r="K318" s="63"/>
      <c r="L318" s="63"/>
      <c r="M318" s="64"/>
      <c r="N318" s="13"/>
      <c r="Q318" s="26" t="s">
        <v>422</v>
      </c>
      <c r="R318" s="26"/>
      <c r="S318" s="65"/>
      <c r="T318" s="65"/>
      <c r="U318" s="13"/>
    </row>
    <row r="319">
      <c r="B319" s="51"/>
      <c r="C319" s="62"/>
      <c r="D319" s="13"/>
      <c r="E319" s="64"/>
      <c r="F319" s="64"/>
      <c r="G319" s="64"/>
      <c r="H319" s="64"/>
      <c r="I319" s="13"/>
      <c r="J319" s="64"/>
      <c r="K319" s="63"/>
      <c r="L319" s="63"/>
      <c r="M319" s="64"/>
      <c r="N319" s="13"/>
      <c r="Q319" s="26" t="s">
        <v>422</v>
      </c>
      <c r="R319" s="26"/>
      <c r="S319" s="65"/>
      <c r="T319" s="65"/>
      <c r="U319" s="13"/>
    </row>
    <row r="320">
      <c r="B320" s="51"/>
      <c r="C320" s="62"/>
      <c r="D320" s="13"/>
      <c r="E320" s="64"/>
      <c r="F320" s="64"/>
      <c r="G320" s="64"/>
      <c r="H320" s="64"/>
      <c r="I320" s="13"/>
      <c r="J320" s="64"/>
      <c r="K320" s="63"/>
      <c r="L320" s="63"/>
      <c r="M320" s="64"/>
      <c r="N320" s="13"/>
      <c r="Q320" s="26" t="s">
        <v>422</v>
      </c>
      <c r="R320" s="26"/>
      <c r="S320" s="65"/>
      <c r="T320" s="65"/>
      <c r="U320" s="13"/>
    </row>
    <row r="321">
      <c r="B321" s="51"/>
      <c r="C321" s="62"/>
      <c r="D321" s="13"/>
      <c r="E321" s="64"/>
      <c r="F321" s="64"/>
      <c r="G321" s="64"/>
      <c r="H321" s="64"/>
      <c r="I321" s="13"/>
      <c r="J321" s="64"/>
      <c r="K321" s="63"/>
      <c r="L321" s="63"/>
      <c r="M321" s="64"/>
      <c r="N321" s="13"/>
      <c r="Q321" s="26" t="s">
        <v>422</v>
      </c>
      <c r="R321" s="26"/>
      <c r="S321" s="65"/>
      <c r="T321" s="65"/>
      <c r="U321" s="13"/>
    </row>
    <row r="322">
      <c r="B322" s="51"/>
      <c r="C322" s="62"/>
      <c r="D322" s="13"/>
      <c r="E322" s="64"/>
      <c r="F322" s="64"/>
      <c r="G322" s="64"/>
      <c r="H322" s="64"/>
      <c r="I322" s="13"/>
      <c r="J322" s="64"/>
      <c r="K322" s="63"/>
      <c r="L322" s="63"/>
      <c r="M322" s="64"/>
      <c r="N322" s="13"/>
      <c r="Q322" s="26" t="s">
        <v>422</v>
      </c>
      <c r="R322" s="26"/>
      <c r="S322" s="65"/>
      <c r="T322" s="65"/>
      <c r="U322" s="13"/>
    </row>
    <row r="323">
      <c r="B323" s="51"/>
      <c r="C323" s="62"/>
      <c r="D323" s="13"/>
      <c r="E323" s="64"/>
      <c r="F323" s="64"/>
      <c r="G323" s="64"/>
      <c r="H323" s="64"/>
      <c r="I323" s="13"/>
      <c r="J323" s="64"/>
      <c r="K323" s="63"/>
      <c r="L323" s="63"/>
      <c r="M323" s="64"/>
      <c r="N323" s="13"/>
      <c r="Q323" s="26" t="s">
        <v>422</v>
      </c>
      <c r="R323" s="26"/>
      <c r="S323" s="65"/>
      <c r="T323" s="65"/>
      <c r="U323" s="13"/>
    </row>
    <row r="324">
      <c r="B324" s="51"/>
      <c r="C324" s="62"/>
      <c r="D324" s="13"/>
      <c r="E324" s="64"/>
      <c r="F324" s="64"/>
      <c r="G324" s="64"/>
      <c r="H324" s="64"/>
      <c r="I324" s="13"/>
      <c r="J324" s="64"/>
      <c r="K324" s="63"/>
      <c r="L324" s="63"/>
      <c r="M324" s="64"/>
      <c r="N324" s="13"/>
      <c r="Q324" s="26" t="s">
        <v>422</v>
      </c>
      <c r="R324" s="26"/>
      <c r="S324" s="65"/>
      <c r="T324" s="65"/>
      <c r="U324" s="13"/>
    </row>
    <row r="325">
      <c r="B325" s="51"/>
      <c r="C325" s="62"/>
      <c r="D325" s="13"/>
      <c r="E325" s="64"/>
      <c r="F325" s="64"/>
      <c r="G325" s="64"/>
      <c r="H325" s="64"/>
      <c r="I325" s="13"/>
      <c r="J325" s="64"/>
      <c r="K325" s="63"/>
      <c r="L325" s="63"/>
      <c r="M325" s="64"/>
      <c r="N325" s="13"/>
      <c r="Q325" s="26" t="s">
        <v>422</v>
      </c>
      <c r="R325" s="26"/>
      <c r="S325" s="65"/>
      <c r="T325" s="65"/>
      <c r="U325" s="13"/>
    </row>
    <row r="326">
      <c r="B326" s="51"/>
      <c r="C326" s="62"/>
      <c r="D326" s="13"/>
      <c r="E326" s="64"/>
      <c r="F326" s="64"/>
      <c r="G326" s="64"/>
      <c r="H326" s="64"/>
      <c r="I326" s="13"/>
      <c r="J326" s="64"/>
      <c r="K326" s="63"/>
      <c r="L326" s="63"/>
      <c r="M326" s="64"/>
      <c r="N326" s="13"/>
      <c r="Q326" s="26" t="s">
        <v>422</v>
      </c>
      <c r="R326" s="26"/>
      <c r="S326" s="65"/>
      <c r="T326" s="65"/>
      <c r="U326" s="13"/>
    </row>
    <row r="327">
      <c r="B327" s="51"/>
      <c r="C327" s="62"/>
      <c r="D327" s="13"/>
      <c r="E327" s="64"/>
      <c r="F327" s="64"/>
      <c r="G327" s="64"/>
      <c r="H327" s="64"/>
      <c r="I327" s="13"/>
      <c r="J327" s="64"/>
      <c r="K327" s="63"/>
      <c r="L327" s="63"/>
      <c r="M327" s="64"/>
      <c r="N327" s="13"/>
      <c r="Q327" s="26" t="s">
        <v>422</v>
      </c>
      <c r="R327" s="26"/>
      <c r="S327" s="65"/>
      <c r="T327" s="65"/>
      <c r="U327" s="13"/>
    </row>
    <row r="328">
      <c r="B328" s="51"/>
      <c r="C328" s="62"/>
      <c r="D328" s="13"/>
      <c r="E328" s="64"/>
      <c r="F328" s="64"/>
      <c r="G328" s="64"/>
      <c r="H328" s="64"/>
      <c r="I328" s="13"/>
      <c r="J328" s="64"/>
      <c r="K328" s="63"/>
      <c r="L328" s="63"/>
      <c r="M328" s="64"/>
      <c r="N328" s="13"/>
      <c r="Q328" s="26" t="s">
        <v>422</v>
      </c>
      <c r="R328" s="26"/>
      <c r="S328" s="65"/>
      <c r="T328" s="65"/>
      <c r="U328" s="13"/>
    </row>
    <row r="329">
      <c r="B329" s="51"/>
      <c r="C329" s="62"/>
      <c r="D329" s="13"/>
      <c r="E329" s="64"/>
      <c r="F329" s="64"/>
      <c r="G329" s="64"/>
      <c r="H329" s="64"/>
      <c r="I329" s="13"/>
      <c r="J329" s="64"/>
      <c r="K329" s="63"/>
      <c r="L329" s="63"/>
      <c r="M329" s="64"/>
      <c r="N329" s="13"/>
      <c r="Q329" s="26" t="s">
        <v>422</v>
      </c>
      <c r="R329" s="26"/>
      <c r="S329" s="65"/>
      <c r="T329" s="65"/>
      <c r="U329" s="13"/>
    </row>
    <row r="330">
      <c r="B330" s="51"/>
      <c r="C330" s="62"/>
      <c r="D330" s="13"/>
      <c r="E330" s="64"/>
      <c r="F330" s="64"/>
      <c r="G330" s="64"/>
      <c r="H330" s="64"/>
      <c r="I330" s="13"/>
      <c r="J330" s="64"/>
      <c r="K330" s="63"/>
      <c r="L330" s="63"/>
      <c r="M330" s="64"/>
      <c r="N330" s="13"/>
      <c r="Q330" s="26" t="s">
        <v>422</v>
      </c>
      <c r="R330" s="26"/>
      <c r="S330" s="65"/>
      <c r="T330" s="65"/>
      <c r="U330" s="13"/>
    </row>
    <row r="331">
      <c r="B331" s="51"/>
      <c r="C331" s="62"/>
      <c r="D331" s="13"/>
      <c r="E331" s="64"/>
      <c r="F331" s="64"/>
      <c r="G331" s="64"/>
      <c r="H331" s="64"/>
      <c r="I331" s="13"/>
      <c r="J331" s="64"/>
      <c r="K331" s="63"/>
      <c r="L331" s="63"/>
      <c r="M331" s="64"/>
      <c r="N331" s="13"/>
      <c r="Q331" s="26" t="s">
        <v>422</v>
      </c>
      <c r="R331" s="26"/>
      <c r="S331" s="65"/>
      <c r="T331" s="65"/>
      <c r="U331" s="13"/>
    </row>
    <row r="332">
      <c r="B332" s="51"/>
      <c r="C332" s="62"/>
      <c r="D332" s="13"/>
      <c r="E332" s="64"/>
      <c r="F332" s="64"/>
      <c r="G332" s="64"/>
      <c r="H332" s="64"/>
      <c r="I332" s="13"/>
      <c r="J332" s="64"/>
      <c r="K332" s="63"/>
      <c r="L332" s="63"/>
      <c r="M332" s="64"/>
      <c r="N332" s="13"/>
      <c r="Q332" s="26" t="s">
        <v>422</v>
      </c>
      <c r="R332" s="26"/>
      <c r="S332" s="65"/>
      <c r="T332" s="65"/>
      <c r="U332" s="13"/>
    </row>
    <row r="333">
      <c r="B333" s="51"/>
      <c r="C333" s="62"/>
      <c r="D333" s="13"/>
      <c r="E333" s="64"/>
      <c r="F333" s="64"/>
      <c r="G333" s="64"/>
      <c r="H333" s="64"/>
      <c r="I333" s="13"/>
      <c r="J333" s="64"/>
      <c r="K333" s="63"/>
      <c r="L333" s="63"/>
      <c r="M333" s="64"/>
      <c r="N333" s="13"/>
      <c r="Q333" s="26" t="s">
        <v>422</v>
      </c>
      <c r="R333" s="26"/>
      <c r="S333" s="65"/>
      <c r="T333" s="65"/>
      <c r="U333" s="13"/>
    </row>
    <row r="334">
      <c r="B334" s="51"/>
      <c r="C334" s="62"/>
      <c r="D334" s="13"/>
      <c r="E334" s="64"/>
      <c r="F334" s="64"/>
      <c r="G334" s="64"/>
      <c r="H334" s="64"/>
      <c r="I334" s="13"/>
      <c r="J334" s="64"/>
      <c r="K334" s="63"/>
      <c r="L334" s="63"/>
      <c r="M334" s="64"/>
      <c r="N334" s="13"/>
      <c r="Q334" s="26" t="s">
        <v>422</v>
      </c>
      <c r="R334" s="26"/>
      <c r="S334" s="65"/>
      <c r="T334" s="65"/>
      <c r="U334" s="13"/>
    </row>
    <row r="335">
      <c r="B335" s="51"/>
      <c r="C335" s="62"/>
      <c r="D335" s="13"/>
      <c r="E335" s="64"/>
      <c r="F335" s="64"/>
      <c r="G335" s="64"/>
      <c r="H335" s="64"/>
      <c r="I335" s="13"/>
      <c r="J335" s="64"/>
      <c r="K335" s="63"/>
      <c r="L335" s="63"/>
      <c r="M335" s="64"/>
      <c r="N335" s="13"/>
      <c r="Q335" s="26" t="s">
        <v>422</v>
      </c>
      <c r="R335" s="26"/>
      <c r="S335" s="65"/>
      <c r="T335" s="65"/>
      <c r="U335" s="13"/>
    </row>
    <row r="336">
      <c r="B336" s="51"/>
      <c r="C336" s="62"/>
      <c r="D336" s="13"/>
      <c r="E336" s="64"/>
      <c r="F336" s="64"/>
      <c r="G336" s="64"/>
      <c r="H336" s="64"/>
      <c r="I336" s="13"/>
      <c r="J336" s="64"/>
      <c r="K336" s="63"/>
      <c r="L336" s="63"/>
      <c r="M336" s="64"/>
      <c r="N336" s="13"/>
      <c r="Q336" s="26" t="s">
        <v>422</v>
      </c>
      <c r="R336" s="26"/>
      <c r="S336" s="65"/>
      <c r="T336" s="65"/>
      <c r="U336" s="13"/>
    </row>
    <row r="337">
      <c r="B337" s="51"/>
      <c r="C337" s="62"/>
      <c r="D337" s="13"/>
      <c r="E337" s="64"/>
      <c r="F337" s="64"/>
      <c r="G337" s="64"/>
      <c r="H337" s="64"/>
      <c r="I337" s="13"/>
      <c r="J337" s="64"/>
      <c r="K337" s="63"/>
      <c r="L337" s="63"/>
      <c r="M337" s="64"/>
      <c r="N337" s="13"/>
      <c r="Q337" s="26" t="s">
        <v>422</v>
      </c>
      <c r="R337" s="26"/>
      <c r="S337" s="65"/>
      <c r="T337" s="65"/>
      <c r="U337" s="13"/>
    </row>
    <row r="338">
      <c r="B338" s="51"/>
      <c r="C338" s="62"/>
      <c r="D338" s="13"/>
      <c r="E338" s="64"/>
      <c r="F338" s="64"/>
      <c r="G338" s="64"/>
      <c r="H338" s="64"/>
      <c r="I338" s="13"/>
      <c r="J338" s="64"/>
      <c r="K338" s="63"/>
      <c r="L338" s="63"/>
      <c r="M338" s="64"/>
      <c r="N338" s="13"/>
      <c r="Q338" s="26" t="s">
        <v>422</v>
      </c>
      <c r="R338" s="26"/>
      <c r="S338" s="65"/>
      <c r="T338" s="65"/>
      <c r="U338" s="13"/>
    </row>
    <row r="339">
      <c r="B339" s="51"/>
      <c r="C339" s="62"/>
      <c r="D339" s="13"/>
      <c r="E339" s="64"/>
      <c r="F339" s="64"/>
      <c r="G339" s="64"/>
      <c r="H339" s="64"/>
      <c r="I339" s="13"/>
      <c r="J339" s="64"/>
      <c r="K339" s="63"/>
      <c r="L339" s="63"/>
      <c r="M339" s="64"/>
      <c r="N339" s="13"/>
      <c r="Q339" s="26" t="s">
        <v>422</v>
      </c>
      <c r="R339" s="26"/>
      <c r="S339" s="65"/>
      <c r="T339" s="65"/>
      <c r="U339" s="13"/>
    </row>
    <row r="340">
      <c r="B340" s="51"/>
      <c r="C340" s="62"/>
      <c r="D340" s="13"/>
      <c r="E340" s="64"/>
      <c r="F340" s="64"/>
      <c r="G340" s="64"/>
      <c r="H340" s="64"/>
      <c r="I340" s="13"/>
      <c r="J340" s="64"/>
      <c r="K340" s="63"/>
      <c r="L340" s="63"/>
      <c r="M340" s="64"/>
      <c r="N340" s="13"/>
      <c r="Q340" s="26" t="s">
        <v>422</v>
      </c>
      <c r="R340" s="26"/>
      <c r="S340" s="65"/>
      <c r="T340" s="65"/>
      <c r="U340" s="13"/>
    </row>
    <row r="341">
      <c r="B341" s="51"/>
      <c r="C341" s="62"/>
      <c r="D341" s="13"/>
      <c r="E341" s="64"/>
      <c r="F341" s="64"/>
      <c r="G341" s="64"/>
      <c r="H341" s="64"/>
      <c r="I341" s="13"/>
      <c r="J341" s="64"/>
      <c r="K341" s="63"/>
      <c r="L341" s="63"/>
      <c r="M341" s="64"/>
      <c r="N341" s="13"/>
      <c r="Q341" s="26" t="s">
        <v>422</v>
      </c>
      <c r="R341" s="26"/>
      <c r="S341" s="65"/>
      <c r="T341" s="65"/>
      <c r="U341" s="13"/>
    </row>
    <row r="342">
      <c r="B342" s="51"/>
      <c r="C342" s="62"/>
      <c r="D342" s="13"/>
      <c r="E342" s="64"/>
      <c r="F342" s="64"/>
      <c r="G342" s="64"/>
      <c r="H342" s="64"/>
      <c r="I342" s="13"/>
      <c r="J342" s="64"/>
      <c r="K342" s="63"/>
      <c r="L342" s="63"/>
      <c r="M342" s="64"/>
      <c r="N342" s="13"/>
      <c r="Q342" s="26" t="s">
        <v>422</v>
      </c>
      <c r="R342" s="26"/>
      <c r="S342" s="65"/>
      <c r="T342" s="65"/>
      <c r="U342" s="13"/>
    </row>
    <row r="343">
      <c r="B343" s="51"/>
      <c r="C343" s="62"/>
      <c r="D343" s="13"/>
      <c r="E343" s="64"/>
      <c r="F343" s="64"/>
      <c r="G343" s="64"/>
      <c r="H343" s="64"/>
      <c r="I343" s="13"/>
      <c r="J343" s="64"/>
      <c r="K343" s="63"/>
      <c r="L343" s="63"/>
      <c r="M343" s="64"/>
      <c r="N343" s="13"/>
      <c r="Q343" s="26" t="s">
        <v>422</v>
      </c>
      <c r="R343" s="26"/>
      <c r="S343" s="65"/>
      <c r="T343" s="65"/>
      <c r="U343" s="13"/>
    </row>
    <row r="344">
      <c r="B344" s="51"/>
      <c r="C344" s="62"/>
      <c r="D344" s="13"/>
      <c r="E344" s="64"/>
      <c r="F344" s="64"/>
      <c r="G344" s="64"/>
      <c r="H344" s="64"/>
      <c r="I344" s="13"/>
      <c r="J344" s="64"/>
      <c r="K344" s="63"/>
      <c r="L344" s="63"/>
      <c r="M344" s="64"/>
      <c r="N344" s="13"/>
      <c r="Q344" s="26" t="s">
        <v>422</v>
      </c>
      <c r="R344" s="26"/>
      <c r="S344" s="65"/>
      <c r="T344" s="65"/>
      <c r="U344" s="13"/>
    </row>
    <row r="345">
      <c r="B345" s="51"/>
      <c r="C345" s="62"/>
      <c r="D345" s="13"/>
      <c r="E345" s="64"/>
      <c r="F345" s="64"/>
      <c r="G345" s="64"/>
      <c r="H345" s="64"/>
      <c r="I345" s="13"/>
      <c r="J345" s="64"/>
      <c r="K345" s="63"/>
      <c r="L345" s="63"/>
      <c r="M345" s="64"/>
      <c r="N345" s="13"/>
      <c r="Q345" s="26" t="s">
        <v>422</v>
      </c>
      <c r="R345" s="26"/>
      <c r="S345" s="65"/>
      <c r="T345" s="65"/>
      <c r="U345" s="13"/>
    </row>
    <row r="346">
      <c r="B346" s="51"/>
      <c r="C346" s="62"/>
      <c r="D346" s="13"/>
      <c r="E346" s="64"/>
      <c r="F346" s="64"/>
      <c r="G346" s="64"/>
      <c r="H346" s="64"/>
      <c r="I346" s="13"/>
      <c r="J346" s="64"/>
      <c r="K346" s="63"/>
      <c r="L346" s="63"/>
      <c r="M346" s="64"/>
      <c r="N346" s="13"/>
      <c r="Q346" s="26" t="s">
        <v>422</v>
      </c>
      <c r="R346" s="26"/>
      <c r="S346" s="65"/>
      <c r="T346" s="65"/>
      <c r="U346" s="13"/>
    </row>
    <row r="347">
      <c r="B347" s="51"/>
      <c r="C347" s="62"/>
      <c r="D347" s="13"/>
      <c r="E347" s="64"/>
      <c r="F347" s="64"/>
      <c r="G347" s="64"/>
      <c r="H347" s="64"/>
      <c r="I347" s="13"/>
      <c r="J347" s="64"/>
      <c r="K347" s="63"/>
      <c r="L347" s="63"/>
      <c r="M347" s="64"/>
      <c r="N347" s="13"/>
      <c r="Q347" s="26" t="s">
        <v>422</v>
      </c>
      <c r="R347" s="26"/>
      <c r="S347" s="65"/>
      <c r="T347" s="65"/>
      <c r="U347" s="13"/>
    </row>
    <row r="348">
      <c r="B348" s="51"/>
      <c r="C348" s="62"/>
      <c r="D348" s="13"/>
      <c r="E348" s="64"/>
      <c r="F348" s="64"/>
      <c r="G348" s="64"/>
      <c r="H348" s="64"/>
      <c r="I348" s="13"/>
      <c r="J348" s="64"/>
      <c r="K348" s="63"/>
      <c r="L348" s="63"/>
      <c r="M348" s="64"/>
      <c r="N348" s="13"/>
      <c r="Q348" s="26" t="s">
        <v>422</v>
      </c>
      <c r="R348" s="26"/>
      <c r="S348" s="65"/>
      <c r="T348" s="65"/>
      <c r="U348" s="13"/>
    </row>
    <row r="349">
      <c r="B349" s="51"/>
      <c r="C349" s="62"/>
      <c r="D349" s="13"/>
      <c r="E349" s="64"/>
      <c r="F349" s="64"/>
      <c r="G349" s="64"/>
      <c r="H349" s="64"/>
      <c r="I349" s="13"/>
      <c r="J349" s="64"/>
      <c r="K349" s="63"/>
      <c r="L349" s="63"/>
      <c r="M349" s="64"/>
      <c r="N349" s="13"/>
      <c r="Q349" s="26" t="s">
        <v>422</v>
      </c>
      <c r="R349" s="26"/>
      <c r="S349" s="65"/>
      <c r="T349" s="65"/>
      <c r="U349" s="13"/>
    </row>
    <row r="350">
      <c r="B350" s="51"/>
      <c r="C350" s="62"/>
      <c r="D350" s="13"/>
      <c r="E350" s="64"/>
      <c r="F350" s="64"/>
      <c r="G350" s="64"/>
      <c r="H350" s="64"/>
      <c r="I350" s="13"/>
      <c r="J350" s="64"/>
      <c r="K350" s="63"/>
      <c r="L350" s="63"/>
      <c r="M350" s="64"/>
      <c r="N350" s="13"/>
      <c r="Q350" s="26" t="s">
        <v>422</v>
      </c>
      <c r="R350" s="26"/>
      <c r="S350" s="65"/>
      <c r="T350" s="65"/>
      <c r="U350" s="13"/>
    </row>
    <row r="351">
      <c r="B351" s="51"/>
      <c r="C351" s="62"/>
      <c r="D351" s="13"/>
      <c r="E351" s="64"/>
      <c r="F351" s="64"/>
      <c r="G351" s="64"/>
      <c r="H351" s="64"/>
      <c r="I351" s="13"/>
      <c r="J351" s="64"/>
      <c r="K351" s="63"/>
      <c r="L351" s="63"/>
      <c r="M351" s="64"/>
      <c r="N351" s="13"/>
      <c r="Q351" s="26" t="s">
        <v>422</v>
      </c>
      <c r="R351" s="26"/>
      <c r="S351" s="65"/>
      <c r="T351" s="65"/>
      <c r="U351" s="13"/>
    </row>
    <row r="352">
      <c r="B352" s="51"/>
      <c r="C352" s="62"/>
      <c r="D352" s="13"/>
      <c r="E352" s="64"/>
      <c r="F352" s="64"/>
      <c r="G352" s="64"/>
      <c r="H352" s="64"/>
      <c r="I352" s="13"/>
      <c r="J352" s="64"/>
      <c r="K352" s="63"/>
      <c r="L352" s="63"/>
      <c r="M352" s="64"/>
      <c r="N352" s="13"/>
      <c r="Q352" s="26" t="s">
        <v>422</v>
      </c>
      <c r="R352" s="26"/>
      <c r="S352" s="65"/>
      <c r="T352" s="65"/>
      <c r="U352" s="13"/>
    </row>
    <row r="353">
      <c r="B353" s="51"/>
      <c r="C353" s="62"/>
      <c r="D353" s="13"/>
      <c r="E353" s="64"/>
      <c r="F353" s="64"/>
      <c r="G353" s="64"/>
      <c r="H353" s="64"/>
      <c r="I353" s="13"/>
      <c r="J353" s="64"/>
      <c r="K353" s="63"/>
      <c r="L353" s="63"/>
      <c r="M353" s="64"/>
      <c r="N353" s="13"/>
      <c r="Q353" s="26" t="s">
        <v>422</v>
      </c>
      <c r="R353" s="26"/>
      <c r="S353" s="65"/>
      <c r="T353" s="65"/>
      <c r="U353" s="13"/>
    </row>
    <row r="354">
      <c r="B354" s="51"/>
      <c r="C354" s="62"/>
      <c r="D354" s="13"/>
      <c r="E354" s="64"/>
      <c r="F354" s="64"/>
      <c r="G354" s="64"/>
      <c r="H354" s="64"/>
      <c r="I354" s="13"/>
      <c r="J354" s="64"/>
      <c r="K354" s="63"/>
      <c r="L354" s="63"/>
      <c r="M354" s="64"/>
      <c r="N354" s="13"/>
      <c r="Q354" s="26" t="s">
        <v>422</v>
      </c>
      <c r="R354" s="26"/>
      <c r="S354" s="65"/>
      <c r="T354" s="65"/>
      <c r="U354" s="13"/>
    </row>
    <row r="355">
      <c r="B355" s="51"/>
      <c r="C355" s="62"/>
      <c r="D355" s="13"/>
      <c r="E355" s="64"/>
      <c r="F355" s="64"/>
      <c r="G355" s="64"/>
      <c r="H355" s="64"/>
      <c r="I355" s="13"/>
      <c r="J355" s="64"/>
      <c r="K355" s="63"/>
      <c r="L355" s="63"/>
      <c r="M355" s="64"/>
      <c r="N355" s="13"/>
      <c r="Q355" s="26" t="s">
        <v>422</v>
      </c>
      <c r="R355" s="26"/>
      <c r="S355" s="65"/>
      <c r="T355" s="65"/>
      <c r="U355" s="13"/>
    </row>
    <row r="356">
      <c r="B356" s="51"/>
      <c r="C356" s="62"/>
      <c r="D356" s="13"/>
      <c r="E356" s="64"/>
      <c r="F356" s="64"/>
      <c r="G356" s="64"/>
      <c r="H356" s="64"/>
      <c r="I356" s="13"/>
      <c r="J356" s="64"/>
      <c r="K356" s="63"/>
      <c r="L356" s="63"/>
      <c r="M356" s="64"/>
      <c r="N356" s="13"/>
      <c r="Q356" s="26" t="s">
        <v>422</v>
      </c>
      <c r="R356" s="26"/>
      <c r="S356" s="65"/>
      <c r="T356" s="65"/>
      <c r="U356" s="13"/>
    </row>
    <row r="357">
      <c r="B357" s="51"/>
      <c r="C357" s="62"/>
      <c r="D357" s="13"/>
      <c r="E357" s="64"/>
      <c r="F357" s="64"/>
      <c r="G357" s="64"/>
      <c r="H357" s="64"/>
      <c r="I357" s="13"/>
      <c r="J357" s="64"/>
      <c r="K357" s="63"/>
      <c r="L357" s="63"/>
      <c r="M357" s="64"/>
      <c r="N357" s="13"/>
      <c r="Q357" s="26" t="s">
        <v>422</v>
      </c>
      <c r="R357" s="26"/>
      <c r="S357" s="65"/>
      <c r="T357" s="65"/>
      <c r="U357" s="13"/>
    </row>
    <row r="358">
      <c r="B358" s="51"/>
      <c r="C358" s="62"/>
      <c r="D358" s="13"/>
      <c r="E358" s="64"/>
      <c r="F358" s="64"/>
      <c r="G358" s="64"/>
      <c r="H358" s="64"/>
      <c r="I358" s="13"/>
      <c r="J358" s="64"/>
      <c r="K358" s="63"/>
      <c r="L358" s="63"/>
      <c r="M358" s="64"/>
      <c r="N358" s="13"/>
      <c r="Q358" s="26" t="s">
        <v>422</v>
      </c>
      <c r="R358" s="26"/>
      <c r="S358" s="65"/>
      <c r="T358" s="65"/>
      <c r="U358" s="13"/>
    </row>
    <row r="359">
      <c r="B359" s="51"/>
      <c r="C359" s="62"/>
      <c r="D359" s="13"/>
      <c r="E359" s="64"/>
      <c r="F359" s="64"/>
      <c r="G359" s="64"/>
      <c r="H359" s="64"/>
      <c r="I359" s="13"/>
      <c r="J359" s="64"/>
      <c r="K359" s="63"/>
      <c r="L359" s="63"/>
      <c r="M359" s="64"/>
      <c r="N359" s="13"/>
      <c r="Q359" s="26" t="s">
        <v>422</v>
      </c>
      <c r="R359" s="26"/>
      <c r="S359" s="65"/>
      <c r="T359" s="65"/>
      <c r="U359" s="13"/>
    </row>
    <row r="360">
      <c r="B360" s="51"/>
      <c r="C360" s="62"/>
      <c r="D360" s="13"/>
      <c r="E360" s="64"/>
      <c r="F360" s="64"/>
      <c r="G360" s="64"/>
      <c r="H360" s="64"/>
      <c r="I360" s="13"/>
      <c r="J360" s="64"/>
      <c r="K360" s="63"/>
      <c r="L360" s="63"/>
      <c r="M360" s="64"/>
      <c r="N360" s="13"/>
      <c r="Q360" s="26" t="s">
        <v>422</v>
      </c>
      <c r="R360" s="26"/>
      <c r="S360" s="65"/>
      <c r="T360" s="65"/>
      <c r="U360" s="13"/>
    </row>
    <row r="361">
      <c r="B361" s="51"/>
      <c r="C361" s="62"/>
      <c r="D361" s="13"/>
      <c r="E361" s="64"/>
      <c r="F361" s="64"/>
      <c r="G361" s="64"/>
      <c r="H361" s="64"/>
      <c r="I361" s="13"/>
      <c r="J361" s="64"/>
      <c r="K361" s="63"/>
      <c r="L361" s="63"/>
      <c r="M361" s="64"/>
      <c r="N361" s="13"/>
      <c r="Q361" s="26" t="s">
        <v>422</v>
      </c>
      <c r="R361" s="26"/>
      <c r="S361" s="65"/>
      <c r="T361" s="65"/>
      <c r="U361" s="13"/>
    </row>
    <row r="362">
      <c r="B362" s="51"/>
      <c r="C362" s="62"/>
      <c r="D362" s="13"/>
      <c r="E362" s="64"/>
      <c r="F362" s="64"/>
      <c r="G362" s="64"/>
      <c r="H362" s="64"/>
      <c r="I362" s="13"/>
      <c r="J362" s="64"/>
      <c r="K362" s="63"/>
      <c r="L362" s="63"/>
      <c r="M362" s="64"/>
      <c r="N362" s="13"/>
      <c r="Q362" s="26" t="s">
        <v>422</v>
      </c>
      <c r="R362" s="26"/>
      <c r="S362" s="65"/>
      <c r="T362" s="65"/>
      <c r="U362" s="13"/>
    </row>
    <row r="363">
      <c r="B363" s="51"/>
      <c r="C363" s="62"/>
      <c r="D363" s="13"/>
      <c r="E363" s="64"/>
      <c r="F363" s="64"/>
      <c r="G363" s="64"/>
      <c r="H363" s="64"/>
      <c r="I363" s="13"/>
      <c r="J363" s="64"/>
      <c r="K363" s="63"/>
      <c r="L363" s="63"/>
      <c r="M363" s="64"/>
      <c r="N363" s="13"/>
      <c r="Q363" s="26" t="s">
        <v>422</v>
      </c>
      <c r="R363" s="26"/>
      <c r="S363" s="65"/>
      <c r="T363" s="65"/>
      <c r="U363" s="13"/>
    </row>
    <row r="364">
      <c r="B364" s="51"/>
      <c r="C364" s="62"/>
      <c r="D364" s="13"/>
      <c r="E364" s="64"/>
      <c r="F364" s="64"/>
      <c r="G364" s="64"/>
      <c r="H364" s="64"/>
      <c r="I364" s="13"/>
      <c r="J364" s="64"/>
      <c r="K364" s="63"/>
      <c r="L364" s="63"/>
      <c r="M364" s="64"/>
      <c r="N364" s="13"/>
      <c r="Q364" s="26" t="s">
        <v>422</v>
      </c>
      <c r="R364" s="26"/>
      <c r="S364" s="65"/>
      <c r="T364" s="65"/>
      <c r="U364" s="13"/>
    </row>
    <row r="365">
      <c r="B365" s="51"/>
      <c r="C365" s="62"/>
      <c r="D365" s="13"/>
      <c r="E365" s="64"/>
      <c r="F365" s="64"/>
      <c r="G365" s="64"/>
      <c r="H365" s="64"/>
      <c r="I365" s="13"/>
      <c r="J365" s="64"/>
      <c r="K365" s="63"/>
      <c r="L365" s="63"/>
      <c r="M365" s="64"/>
      <c r="N365" s="13"/>
      <c r="Q365" s="26" t="s">
        <v>422</v>
      </c>
      <c r="R365" s="26"/>
      <c r="S365" s="65"/>
      <c r="T365" s="65"/>
      <c r="U365" s="13"/>
    </row>
    <row r="366">
      <c r="B366" s="51"/>
      <c r="C366" s="62"/>
      <c r="D366" s="13"/>
      <c r="E366" s="64"/>
      <c r="F366" s="64"/>
      <c r="G366" s="64"/>
      <c r="H366" s="64"/>
      <c r="I366" s="13"/>
      <c r="J366" s="64"/>
      <c r="K366" s="63"/>
      <c r="L366" s="63"/>
      <c r="M366" s="64"/>
      <c r="N366" s="13"/>
      <c r="Q366" s="26" t="s">
        <v>422</v>
      </c>
      <c r="R366" s="26"/>
      <c r="S366" s="65"/>
      <c r="T366" s="65"/>
      <c r="U366" s="13"/>
    </row>
    <row r="367">
      <c r="B367" s="51"/>
      <c r="C367" s="62"/>
      <c r="D367" s="13"/>
      <c r="E367" s="64"/>
      <c r="F367" s="64"/>
      <c r="G367" s="64"/>
      <c r="H367" s="64"/>
      <c r="I367" s="13"/>
      <c r="J367" s="64"/>
      <c r="K367" s="63"/>
      <c r="L367" s="63"/>
      <c r="M367" s="64"/>
      <c r="N367" s="13"/>
      <c r="Q367" s="26" t="s">
        <v>422</v>
      </c>
      <c r="R367" s="26"/>
      <c r="S367" s="65"/>
      <c r="T367" s="65"/>
      <c r="U367" s="13"/>
    </row>
    <row r="368">
      <c r="B368" s="51"/>
      <c r="C368" s="62"/>
      <c r="D368" s="13"/>
      <c r="E368" s="64"/>
      <c r="F368" s="64"/>
      <c r="G368" s="64"/>
      <c r="H368" s="64"/>
      <c r="I368" s="13"/>
      <c r="J368" s="64"/>
      <c r="K368" s="63"/>
      <c r="L368" s="63"/>
      <c r="M368" s="64"/>
      <c r="N368" s="13"/>
      <c r="Q368" s="26" t="s">
        <v>422</v>
      </c>
      <c r="R368" s="26"/>
      <c r="S368" s="65"/>
      <c r="T368" s="65"/>
      <c r="U368" s="13"/>
    </row>
    <row r="369">
      <c r="B369" s="51"/>
      <c r="C369" s="62"/>
      <c r="D369" s="13"/>
      <c r="E369" s="64"/>
      <c r="F369" s="64"/>
      <c r="G369" s="64"/>
      <c r="H369" s="64"/>
      <c r="I369" s="13"/>
      <c r="J369" s="64"/>
      <c r="K369" s="63"/>
      <c r="L369" s="63"/>
      <c r="M369" s="64"/>
      <c r="N369" s="13"/>
      <c r="Q369" s="26" t="s">
        <v>422</v>
      </c>
      <c r="R369" s="26"/>
      <c r="S369" s="65"/>
      <c r="T369" s="65"/>
      <c r="U369" s="13"/>
    </row>
    <row r="370">
      <c r="B370" s="51"/>
      <c r="C370" s="62"/>
      <c r="D370" s="13"/>
      <c r="E370" s="64"/>
      <c r="F370" s="64"/>
      <c r="G370" s="64"/>
      <c r="H370" s="64"/>
      <c r="I370" s="13"/>
      <c r="J370" s="64"/>
      <c r="K370" s="63"/>
      <c r="L370" s="63"/>
      <c r="M370" s="64"/>
      <c r="N370" s="13"/>
      <c r="Q370" s="26" t="s">
        <v>422</v>
      </c>
      <c r="R370" s="26"/>
      <c r="S370" s="65"/>
      <c r="T370" s="65"/>
      <c r="U370" s="13"/>
    </row>
    <row r="371">
      <c r="B371" s="51"/>
      <c r="C371" s="62"/>
      <c r="D371" s="13"/>
      <c r="E371" s="64"/>
      <c r="F371" s="64"/>
      <c r="G371" s="64"/>
      <c r="H371" s="64"/>
      <c r="I371" s="13"/>
      <c r="J371" s="64"/>
      <c r="K371" s="63"/>
      <c r="L371" s="63"/>
      <c r="M371" s="64"/>
      <c r="N371" s="13"/>
      <c r="Q371" s="26" t="s">
        <v>422</v>
      </c>
      <c r="R371" s="26"/>
      <c r="S371" s="65"/>
      <c r="T371" s="65"/>
      <c r="U371" s="13"/>
    </row>
    <row r="372">
      <c r="B372" s="51"/>
      <c r="C372" s="62"/>
      <c r="D372" s="13"/>
      <c r="E372" s="64"/>
      <c r="F372" s="64"/>
      <c r="G372" s="64"/>
      <c r="H372" s="64"/>
      <c r="I372" s="13"/>
      <c r="J372" s="64"/>
      <c r="K372" s="63"/>
      <c r="L372" s="63"/>
      <c r="M372" s="64"/>
      <c r="N372" s="13"/>
      <c r="Q372" s="26" t="s">
        <v>422</v>
      </c>
      <c r="R372" s="26"/>
      <c r="S372" s="65"/>
      <c r="T372" s="65"/>
      <c r="U372" s="13"/>
    </row>
    <row r="373">
      <c r="B373" s="51"/>
      <c r="C373" s="62"/>
      <c r="D373" s="13"/>
      <c r="E373" s="64"/>
      <c r="F373" s="64"/>
      <c r="G373" s="64"/>
      <c r="H373" s="64"/>
      <c r="I373" s="13"/>
      <c r="J373" s="64"/>
      <c r="K373" s="63"/>
      <c r="L373" s="63"/>
      <c r="M373" s="64"/>
      <c r="N373" s="13"/>
      <c r="Q373" s="26" t="s">
        <v>422</v>
      </c>
      <c r="R373" s="26"/>
      <c r="S373" s="65"/>
      <c r="T373" s="65"/>
      <c r="U373" s="13"/>
    </row>
    <row r="374">
      <c r="B374" s="51"/>
      <c r="C374" s="62"/>
      <c r="D374" s="13"/>
      <c r="E374" s="64"/>
      <c r="F374" s="64"/>
      <c r="G374" s="64"/>
      <c r="H374" s="64"/>
      <c r="I374" s="13"/>
      <c r="J374" s="64"/>
      <c r="K374" s="63"/>
      <c r="L374" s="63"/>
      <c r="M374" s="64"/>
      <c r="N374" s="13"/>
      <c r="Q374" s="26" t="s">
        <v>422</v>
      </c>
      <c r="R374" s="26"/>
      <c r="S374" s="65"/>
      <c r="T374" s="65"/>
      <c r="U374" s="13"/>
    </row>
    <row r="375">
      <c r="B375" s="51"/>
      <c r="C375" s="62"/>
      <c r="D375" s="13"/>
      <c r="E375" s="64"/>
      <c r="F375" s="64"/>
      <c r="G375" s="64"/>
      <c r="H375" s="64"/>
      <c r="I375" s="13"/>
      <c r="J375" s="64"/>
      <c r="K375" s="63"/>
      <c r="L375" s="63"/>
      <c r="M375" s="64"/>
      <c r="N375" s="13"/>
      <c r="Q375" s="26" t="s">
        <v>422</v>
      </c>
      <c r="R375" s="26"/>
      <c r="S375" s="65"/>
      <c r="T375" s="65"/>
      <c r="U375" s="13"/>
    </row>
    <row r="376">
      <c r="B376" s="51"/>
      <c r="C376" s="62"/>
      <c r="D376" s="13"/>
      <c r="E376" s="64"/>
      <c r="F376" s="64"/>
      <c r="G376" s="64"/>
      <c r="H376" s="64"/>
      <c r="I376" s="13"/>
      <c r="J376" s="64"/>
      <c r="K376" s="63"/>
      <c r="L376" s="63"/>
      <c r="M376" s="64"/>
      <c r="N376" s="13"/>
      <c r="Q376" s="26" t="s">
        <v>422</v>
      </c>
      <c r="R376" s="26"/>
      <c r="S376" s="65"/>
      <c r="T376" s="65"/>
      <c r="U376" s="13"/>
    </row>
    <row r="377">
      <c r="B377" s="51"/>
      <c r="C377" s="62"/>
      <c r="D377" s="13"/>
      <c r="E377" s="64"/>
      <c r="F377" s="64"/>
      <c r="G377" s="64"/>
      <c r="H377" s="64"/>
      <c r="I377" s="13"/>
      <c r="J377" s="64"/>
      <c r="K377" s="63"/>
      <c r="L377" s="63"/>
      <c r="M377" s="64"/>
      <c r="N377" s="13"/>
      <c r="Q377" s="26" t="s">
        <v>422</v>
      </c>
      <c r="R377" s="26"/>
      <c r="S377" s="65"/>
      <c r="T377" s="65"/>
      <c r="U377" s="13"/>
    </row>
    <row r="378">
      <c r="B378" s="51"/>
      <c r="C378" s="62"/>
      <c r="D378" s="13"/>
      <c r="E378" s="64"/>
      <c r="F378" s="64"/>
      <c r="G378" s="64"/>
      <c r="H378" s="64"/>
      <c r="I378" s="13"/>
      <c r="J378" s="64"/>
      <c r="K378" s="63"/>
      <c r="L378" s="63"/>
      <c r="M378" s="64"/>
      <c r="N378" s="13"/>
      <c r="Q378" s="26" t="s">
        <v>422</v>
      </c>
      <c r="R378" s="26"/>
      <c r="S378" s="65"/>
      <c r="T378" s="65"/>
      <c r="U378" s="13"/>
    </row>
    <row r="379">
      <c r="B379" s="51"/>
      <c r="C379" s="62"/>
      <c r="D379" s="13"/>
      <c r="E379" s="64"/>
      <c r="F379" s="64"/>
      <c r="G379" s="64"/>
      <c r="H379" s="64"/>
      <c r="I379" s="13"/>
      <c r="J379" s="64"/>
      <c r="K379" s="63"/>
      <c r="L379" s="63"/>
      <c r="M379" s="64"/>
      <c r="N379" s="13"/>
      <c r="Q379" s="26" t="s">
        <v>422</v>
      </c>
      <c r="R379" s="26"/>
      <c r="S379" s="65"/>
      <c r="T379" s="65"/>
      <c r="U379" s="13"/>
    </row>
    <row r="380">
      <c r="B380" s="51"/>
      <c r="C380" s="62"/>
      <c r="D380" s="13"/>
      <c r="E380" s="64"/>
      <c r="F380" s="64"/>
      <c r="G380" s="64"/>
      <c r="H380" s="64"/>
      <c r="I380" s="13"/>
      <c r="J380" s="64"/>
      <c r="K380" s="63"/>
      <c r="L380" s="63"/>
      <c r="M380" s="64"/>
      <c r="N380" s="13"/>
      <c r="Q380" s="26" t="s">
        <v>422</v>
      </c>
      <c r="R380" s="26"/>
      <c r="S380" s="65"/>
      <c r="T380" s="65"/>
      <c r="U380" s="13"/>
    </row>
    <row r="381">
      <c r="B381" s="51"/>
      <c r="C381" s="62"/>
      <c r="D381" s="13"/>
      <c r="E381" s="64"/>
      <c r="F381" s="64"/>
      <c r="G381" s="64"/>
      <c r="H381" s="64"/>
      <c r="I381" s="13"/>
      <c r="J381" s="64"/>
      <c r="K381" s="63"/>
      <c r="L381" s="63"/>
      <c r="M381" s="64"/>
      <c r="N381" s="13"/>
      <c r="Q381" s="26" t="s">
        <v>422</v>
      </c>
      <c r="R381" s="26"/>
      <c r="S381" s="65"/>
      <c r="T381" s="65"/>
      <c r="U381" s="13"/>
    </row>
    <row r="382">
      <c r="B382" s="51"/>
      <c r="C382" s="62"/>
      <c r="D382" s="13"/>
      <c r="E382" s="64"/>
      <c r="F382" s="64"/>
      <c r="G382" s="64"/>
      <c r="H382" s="64"/>
      <c r="I382" s="13"/>
      <c r="J382" s="64"/>
      <c r="K382" s="63"/>
      <c r="L382" s="63"/>
      <c r="M382" s="64"/>
      <c r="N382" s="13"/>
      <c r="Q382" s="26" t="s">
        <v>422</v>
      </c>
      <c r="R382" s="26"/>
      <c r="S382" s="65"/>
      <c r="T382" s="65"/>
      <c r="U382" s="13"/>
    </row>
    <row r="383">
      <c r="B383" s="51"/>
      <c r="C383" s="62"/>
      <c r="D383" s="13"/>
      <c r="E383" s="64"/>
      <c r="F383" s="64"/>
      <c r="G383" s="64"/>
      <c r="H383" s="64"/>
      <c r="I383" s="13"/>
      <c r="J383" s="64"/>
      <c r="K383" s="63"/>
      <c r="L383" s="63"/>
      <c r="M383" s="64"/>
      <c r="N383" s="13"/>
      <c r="Q383" s="26" t="s">
        <v>422</v>
      </c>
      <c r="R383" s="26"/>
      <c r="S383" s="65"/>
      <c r="T383" s="65"/>
      <c r="U383" s="13"/>
    </row>
    <row r="384">
      <c r="B384" s="51"/>
      <c r="C384" s="62"/>
      <c r="D384" s="13"/>
      <c r="E384" s="64"/>
      <c r="F384" s="64"/>
      <c r="G384" s="64"/>
      <c r="H384" s="64"/>
      <c r="I384" s="13"/>
      <c r="J384" s="64"/>
      <c r="K384" s="63"/>
      <c r="L384" s="63"/>
      <c r="M384" s="64"/>
      <c r="N384" s="13"/>
      <c r="Q384" s="26" t="s">
        <v>422</v>
      </c>
      <c r="R384" s="26"/>
      <c r="S384" s="65"/>
      <c r="T384" s="65"/>
      <c r="U384" s="13"/>
    </row>
    <row r="385">
      <c r="B385" s="51"/>
      <c r="C385" s="62"/>
      <c r="D385" s="13"/>
      <c r="E385" s="64"/>
      <c r="F385" s="64"/>
      <c r="G385" s="64"/>
      <c r="H385" s="64"/>
      <c r="I385" s="13"/>
      <c r="J385" s="64"/>
      <c r="K385" s="63"/>
      <c r="L385" s="63"/>
      <c r="M385" s="64"/>
      <c r="N385" s="13"/>
      <c r="Q385" s="26" t="s">
        <v>422</v>
      </c>
      <c r="R385" s="26"/>
      <c r="S385" s="65"/>
      <c r="T385" s="65"/>
      <c r="U385" s="13"/>
    </row>
    <row r="386">
      <c r="B386" s="51"/>
      <c r="C386" s="62"/>
      <c r="D386" s="13"/>
      <c r="E386" s="64"/>
      <c r="F386" s="64"/>
      <c r="G386" s="64"/>
      <c r="H386" s="64"/>
      <c r="I386" s="13"/>
      <c r="J386" s="64"/>
      <c r="K386" s="63"/>
      <c r="L386" s="63"/>
      <c r="M386" s="64"/>
      <c r="N386" s="13"/>
      <c r="Q386" s="26" t="s">
        <v>422</v>
      </c>
      <c r="R386" s="26"/>
      <c r="S386" s="65"/>
      <c r="T386" s="65"/>
      <c r="U386" s="13"/>
    </row>
    <row r="387">
      <c r="B387" s="51"/>
      <c r="C387" s="62"/>
      <c r="D387" s="13"/>
      <c r="E387" s="64"/>
      <c r="F387" s="64"/>
      <c r="G387" s="64"/>
      <c r="H387" s="64"/>
      <c r="I387" s="13"/>
      <c r="J387" s="64"/>
      <c r="K387" s="63"/>
      <c r="L387" s="63"/>
      <c r="M387" s="64"/>
      <c r="N387" s="13"/>
      <c r="Q387" s="26" t="s">
        <v>422</v>
      </c>
      <c r="R387" s="26"/>
      <c r="S387" s="65"/>
      <c r="T387" s="65"/>
      <c r="U387" s="13"/>
    </row>
    <row r="388">
      <c r="B388" s="51"/>
      <c r="C388" s="62"/>
      <c r="D388" s="13"/>
      <c r="E388" s="64"/>
      <c r="F388" s="64"/>
      <c r="G388" s="64"/>
      <c r="H388" s="64"/>
      <c r="I388" s="13"/>
      <c r="J388" s="64"/>
      <c r="K388" s="63"/>
      <c r="L388" s="63"/>
      <c r="M388" s="64"/>
      <c r="N388" s="13"/>
      <c r="Q388" s="26" t="s">
        <v>422</v>
      </c>
      <c r="R388" s="26"/>
      <c r="S388" s="65"/>
      <c r="T388" s="65"/>
      <c r="U388" s="13"/>
    </row>
    <row r="389">
      <c r="B389" s="51"/>
      <c r="C389" s="62"/>
      <c r="D389" s="13"/>
      <c r="E389" s="64"/>
      <c r="F389" s="64"/>
      <c r="G389" s="64"/>
      <c r="H389" s="64"/>
      <c r="I389" s="13"/>
      <c r="J389" s="64"/>
      <c r="K389" s="63"/>
      <c r="L389" s="63"/>
      <c r="M389" s="64"/>
      <c r="N389" s="13"/>
      <c r="Q389" s="26" t="s">
        <v>422</v>
      </c>
      <c r="R389" s="26"/>
      <c r="S389" s="65"/>
      <c r="T389" s="65"/>
      <c r="U389" s="13"/>
    </row>
    <row r="390">
      <c r="B390" s="51"/>
      <c r="C390" s="62"/>
      <c r="D390" s="13"/>
      <c r="E390" s="64"/>
      <c r="F390" s="64"/>
      <c r="G390" s="64"/>
      <c r="H390" s="64"/>
      <c r="I390" s="13"/>
      <c r="J390" s="64"/>
      <c r="K390" s="63"/>
      <c r="L390" s="63"/>
      <c r="M390" s="64"/>
      <c r="N390" s="13"/>
      <c r="Q390" s="26" t="s">
        <v>422</v>
      </c>
      <c r="R390" s="26"/>
      <c r="S390" s="65"/>
      <c r="T390" s="65"/>
      <c r="U390" s="13"/>
    </row>
    <row r="391">
      <c r="B391" s="51"/>
      <c r="C391" s="62"/>
      <c r="D391" s="13"/>
      <c r="E391" s="64"/>
      <c r="F391" s="64"/>
      <c r="G391" s="64"/>
      <c r="H391" s="64"/>
      <c r="I391" s="13"/>
      <c r="J391" s="64"/>
      <c r="K391" s="63"/>
      <c r="L391" s="63"/>
      <c r="M391" s="64"/>
      <c r="N391" s="13"/>
      <c r="Q391" s="26" t="s">
        <v>422</v>
      </c>
      <c r="R391" s="26"/>
      <c r="S391" s="65"/>
      <c r="T391" s="65"/>
      <c r="U391" s="13"/>
    </row>
    <row r="392">
      <c r="B392" s="51"/>
      <c r="C392" s="62"/>
      <c r="D392" s="13"/>
      <c r="E392" s="64"/>
      <c r="F392" s="64"/>
      <c r="G392" s="64"/>
      <c r="H392" s="64"/>
      <c r="I392" s="13"/>
      <c r="J392" s="64"/>
      <c r="K392" s="63"/>
      <c r="L392" s="63"/>
      <c r="M392" s="64"/>
      <c r="N392" s="13"/>
      <c r="Q392" s="26" t="s">
        <v>422</v>
      </c>
      <c r="R392" s="26"/>
      <c r="S392" s="65"/>
      <c r="T392" s="65"/>
      <c r="U392" s="13"/>
    </row>
    <row r="393">
      <c r="B393" s="51"/>
      <c r="C393" s="62"/>
      <c r="D393" s="13"/>
      <c r="E393" s="64"/>
      <c r="F393" s="64"/>
      <c r="G393" s="64"/>
      <c r="H393" s="64"/>
      <c r="I393" s="13"/>
      <c r="J393" s="64"/>
      <c r="K393" s="63"/>
      <c r="L393" s="63"/>
      <c r="M393" s="64"/>
      <c r="N393" s="13"/>
      <c r="Q393" s="26" t="s">
        <v>422</v>
      </c>
      <c r="R393" s="26"/>
      <c r="S393" s="65"/>
      <c r="T393" s="65"/>
      <c r="U393" s="13"/>
    </row>
    <row r="394">
      <c r="B394" s="51"/>
      <c r="C394" s="62"/>
      <c r="D394" s="13"/>
      <c r="E394" s="64"/>
      <c r="F394" s="64"/>
      <c r="G394" s="64"/>
      <c r="H394" s="64"/>
      <c r="I394" s="13"/>
      <c r="J394" s="64"/>
      <c r="K394" s="63"/>
      <c r="L394" s="63"/>
      <c r="M394" s="64"/>
      <c r="N394" s="13"/>
      <c r="Q394" s="26" t="s">
        <v>422</v>
      </c>
      <c r="R394" s="26"/>
      <c r="S394" s="65"/>
      <c r="T394" s="65"/>
      <c r="U394" s="13"/>
    </row>
    <row r="395">
      <c r="B395" s="51"/>
      <c r="C395" s="62"/>
      <c r="D395" s="13"/>
      <c r="E395" s="64"/>
      <c r="F395" s="64"/>
      <c r="G395" s="64"/>
      <c r="H395" s="64"/>
      <c r="I395" s="13"/>
      <c r="J395" s="64"/>
      <c r="K395" s="63"/>
      <c r="L395" s="63"/>
      <c r="M395" s="64"/>
      <c r="N395" s="13"/>
      <c r="Q395" s="26" t="s">
        <v>422</v>
      </c>
      <c r="R395" s="26"/>
      <c r="S395" s="65"/>
      <c r="T395" s="65"/>
      <c r="U395" s="13"/>
    </row>
    <row r="396">
      <c r="B396" s="51"/>
      <c r="C396" s="62"/>
      <c r="D396" s="13"/>
      <c r="E396" s="64"/>
      <c r="F396" s="64"/>
      <c r="G396" s="64"/>
      <c r="H396" s="64"/>
      <c r="I396" s="13"/>
      <c r="J396" s="64"/>
      <c r="K396" s="63"/>
      <c r="L396" s="63"/>
      <c r="M396" s="64"/>
      <c r="N396" s="13"/>
      <c r="Q396" s="26" t="s">
        <v>422</v>
      </c>
      <c r="R396" s="26"/>
      <c r="S396" s="65"/>
      <c r="T396" s="65"/>
      <c r="U396" s="13"/>
    </row>
    <row r="397">
      <c r="B397" s="51"/>
      <c r="C397" s="62"/>
      <c r="D397" s="13"/>
      <c r="E397" s="64"/>
      <c r="F397" s="64"/>
      <c r="G397" s="64"/>
      <c r="H397" s="64"/>
      <c r="I397" s="13"/>
      <c r="J397" s="64"/>
      <c r="K397" s="63"/>
      <c r="L397" s="63"/>
      <c r="M397" s="64"/>
      <c r="N397" s="13"/>
      <c r="Q397" s="26" t="s">
        <v>422</v>
      </c>
      <c r="R397" s="26"/>
      <c r="S397" s="65"/>
      <c r="T397" s="65"/>
      <c r="U397" s="13"/>
    </row>
    <row r="398">
      <c r="B398" s="51"/>
      <c r="C398" s="62"/>
      <c r="D398" s="13"/>
      <c r="E398" s="64"/>
      <c r="F398" s="64"/>
      <c r="G398" s="64"/>
      <c r="H398" s="64"/>
      <c r="I398" s="13"/>
      <c r="J398" s="64"/>
      <c r="K398" s="63"/>
      <c r="L398" s="63"/>
      <c r="M398" s="64"/>
      <c r="N398" s="13"/>
      <c r="Q398" s="26" t="s">
        <v>422</v>
      </c>
      <c r="R398" s="26"/>
      <c r="S398" s="65"/>
      <c r="T398" s="65"/>
      <c r="U398" s="13"/>
    </row>
    <row r="399">
      <c r="B399" s="51"/>
      <c r="C399" s="62"/>
      <c r="D399" s="13"/>
      <c r="E399" s="64"/>
      <c r="F399" s="64"/>
      <c r="G399" s="64"/>
      <c r="H399" s="64"/>
      <c r="I399" s="13"/>
      <c r="J399" s="64"/>
      <c r="K399" s="63"/>
      <c r="L399" s="63"/>
      <c r="M399" s="64"/>
      <c r="N399" s="13"/>
      <c r="Q399" s="26" t="s">
        <v>422</v>
      </c>
      <c r="R399" s="26"/>
      <c r="S399" s="65"/>
      <c r="T399" s="65"/>
      <c r="U399" s="13"/>
    </row>
    <row r="400">
      <c r="B400" s="51"/>
      <c r="C400" s="62"/>
      <c r="D400" s="13"/>
      <c r="E400" s="64"/>
      <c r="F400" s="64"/>
      <c r="G400" s="64"/>
      <c r="H400" s="64"/>
      <c r="I400" s="13"/>
      <c r="J400" s="64"/>
      <c r="K400" s="63"/>
      <c r="L400" s="63"/>
      <c r="M400" s="64"/>
      <c r="N400" s="13"/>
      <c r="Q400" s="26" t="s">
        <v>422</v>
      </c>
      <c r="R400" s="26"/>
      <c r="S400" s="65"/>
      <c r="T400" s="65"/>
      <c r="U400" s="13"/>
    </row>
    <row r="401">
      <c r="B401" s="51"/>
      <c r="C401" s="62"/>
      <c r="D401" s="13"/>
      <c r="E401" s="64"/>
      <c r="F401" s="64"/>
      <c r="G401" s="64"/>
      <c r="H401" s="64"/>
      <c r="I401" s="13"/>
      <c r="J401" s="64"/>
      <c r="K401" s="63"/>
      <c r="L401" s="63"/>
      <c r="M401" s="64"/>
      <c r="N401" s="13"/>
      <c r="Q401" s="26" t="s">
        <v>422</v>
      </c>
      <c r="R401" s="26"/>
      <c r="S401" s="65"/>
      <c r="T401" s="65"/>
      <c r="U401" s="13"/>
    </row>
    <row r="402">
      <c r="B402" s="51"/>
      <c r="C402" s="62"/>
      <c r="D402" s="13"/>
      <c r="E402" s="64"/>
      <c r="F402" s="64"/>
      <c r="G402" s="64"/>
      <c r="H402" s="64"/>
      <c r="I402" s="13"/>
      <c r="J402" s="64"/>
      <c r="K402" s="63"/>
      <c r="L402" s="63"/>
      <c r="M402" s="64"/>
      <c r="N402" s="13"/>
      <c r="Q402" s="26" t="s">
        <v>422</v>
      </c>
      <c r="R402" s="26"/>
      <c r="S402" s="65"/>
      <c r="T402" s="65"/>
      <c r="U402" s="13"/>
    </row>
    <row r="403">
      <c r="B403" s="51"/>
      <c r="C403" s="62"/>
      <c r="D403" s="13"/>
      <c r="E403" s="64"/>
      <c r="F403" s="64"/>
      <c r="G403" s="64"/>
      <c r="H403" s="64"/>
      <c r="I403" s="13"/>
      <c r="J403" s="64"/>
      <c r="K403" s="63"/>
      <c r="L403" s="63"/>
      <c r="M403" s="64"/>
      <c r="N403" s="13"/>
      <c r="Q403" s="26" t="s">
        <v>422</v>
      </c>
      <c r="R403" s="26"/>
      <c r="S403" s="65"/>
      <c r="T403" s="65"/>
      <c r="U403" s="13"/>
    </row>
    <row r="404">
      <c r="B404" s="51"/>
      <c r="C404" s="62"/>
      <c r="D404" s="13"/>
      <c r="E404" s="64"/>
      <c r="F404" s="64"/>
      <c r="G404" s="64"/>
      <c r="H404" s="64"/>
      <c r="I404" s="13"/>
      <c r="J404" s="64"/>
      <c r="K404" s="63"/>
      <c r="L404" s="63"/>
      <c r="M404" s="64"/>
      <c r="N404" s="13"/>
      <c r="Q404" s="26" t="s">
        <v>422</v>
      </c>
      <c r="R404" s="26"/>
      <c r="S404" s="65"/>
      <c r="T404" s="65"/>
      <c r="U404" s="13"/>
    </row>
    <row r="405">
      <c r="B405" s="51"/>
      <c r="C405" s="62"/>
      <c r="D405" s="13"/>
      <c r="E405" s="64"/>
      <c r="F405" s="64"/>
      <c r="G405" s="64"/>
      <c r="H405" s="64"/>
      <c r="I405" s="13"/>
      <c r="J405" s="64"/>
      <c r="K405" s="63"/>
      <c r="L405" s="63"/>
      <c r="M405" s="64"/>
      <c r="N405" s="13"/>
      <c r="Q405" s="26" t="s">
        <v>422</v>
      </c>
      <c r="R405" s="26"/>
      <c r="S405" s="65"/>
      <c r="T405" s="65"/>
      <c r="U405" s="13"/>
    </row>
    <row r="406">
      <c r="B406" s="51"/>
      <c r="C406" s="62"/>
      <c r="D406" s="13"/>
      <c r="E406" s="64"/>
      <c r="F406" s="64"/>
      <c r="G406" s="64"/>
      <c r="H406" s="64"/>
      <c r="I406" s="13"/>
      <c r="J406" s="64"/>
      <c r="K406" s="63"/>
      <c r="L406" s="63"/>
      <c r="M406" s="64"/>
      <c r="N406" s="13"/>
      <c r="Q406" s="26" t="s">
        <v>422</v>
      </c>
      <c r="R406" s="26"/>
      <c r="S406" s="65"/>
      <c r="T406" s="65"/>
      <c r="U406" s="13"/>
    </row>
    <row r="407">
      <c r="B407" s="51"/>
      <c r="C407" s="62"/>
      <c r="D407" s="13"/>
      <c r="E407" s="64"/>
      <c r="F407" s="64"/>
      <c r="G407" s="64"/>
      <c r="H407" s="64"/>
      <c r="I407" s="13"/>
      <c r="J407" s="64"/>
      <c r="K407" s="63"/>
      <c r="L407" s="63"/>
      <c r="M407" s="64"/>
      <c r="N407" s="13"/>
      <c r="Q407" s="26" t="s">
        <v>422</v>
      </c>
      <c r="R407" s="26"/>
      <c r="S407" s="65"/>
      <c r="T407" s="65"/>
      <c r="U407" s="13"/>
    </row>
    <row r="408">
      <c r="B408" s="51"/>
      <c r="C408" s="62"/>
      <c r="D408" s="13"/>
      <c r="E408" s="64"/>
      <c r="F408" s="64"/>
      <c r="G408" s="64"/>
      <c r="H408" s="64"/>
      <c r="I408" s="13"/>
      <c r="J408" s="64"/>
      <c r="K408" s="63"/>
      <c r="L408" s="63"/>
      <c r="M408" s="64"/>
      <c r="N408" s="13"/>
      <c r="Q408" s="26" t="s">
        <v>422</v>
      </c>
      <c r="R408" s="26"/>
      <c r="S408" s="65"/>
      <c r="T408" s="65"/>
      <c r="U408" s="13"/>
    </row>
    <row r="409">
      <c r="B409" s="51"/>
      <c r="C409" s="62"/>
      <c r="D409" s="13"/>
      <c r="E409" s="64"/>
      <c r="F409" s="64"/>
      <c r="G409" s="64"/>
      <c r="H409" s="64"/>
      <c r="I409" s="13"/>
      <c r="J409" s="64"/>
      <c r="K409" s="63"/>
      <c r="L409" s="63"/>
      <c r="M409" s="64"/>
      <c r="N409" s="13"/>
      <c r="Q409" s="26" t="s">
        <v>422</v>
      </c>
      <c r="R409" s="26"/>
      <c r="S409" s="65"/>
      <c r="T409" s="65"/>
      <c r="U409" s="13"/>
    </row>
    <row r="410">
      <c r="B410" s="51"/>
      <c r="C410" s="62"/>
      <c r="D410" s="13"/>
      <c r="E410" s="64"/>
      <c r="F410" s="64"/>
      <c r="G410" s="64"/>
      <c r="H410" s="64"/>
      <c r="I410" s="13"/>
      <c r="J410" s="64"/>
      <c r="K410" s="63"/>
      <c r="L410" s="63"/>
      <c r="M410" s="64"/>
      <c r="N410" s="13"/>
      <c r="Q410" s="26" t="s">
        <v>422</v>
      </c>
      <c r="R410" s="26"/>
      <c r="S410" s="65"/>
      <c r="T410" s="65"/>
      <c r="U410" s="13"/>
    </row>
    <row r="411">
      <c r="B411" s="51"/>
      <c r="C411" s="62"/>
      <c r="D411" s="13"/>
      <c r="E411" s="64"/>
      <c r="F411" s="64"/>
      <c r="G411" s="64"/>
      <c r="H411" s="64"/>
      <c r="I411" s="13"/>
      <c r="J411" s="64"/>
      <c r="K411" s="63"/>
      <c r="L411" s="63"/>
      <c r="M411" s="64"/>
      <c r="N411" s="13"/>
      <c r="Q411" s="26" t="s">
        <v>422</v>
      </c>
      <c r="R411" s="26"/>
      <c r="S411" s="65"/>
      <c r="T411" s="65"/>
      <c r="U411" s="13"/>
    </row>
    <row r="412">
      <c r="B412" s="51"/>
      <c r="C412" s="62"/>
      <c r="D412" s="13"/>
      <c r="E412" s="64"/>
      <c r="F412" s="64"/>
      <c r="G412" s="64"/>
      <c r="H412" s="64"/>
      <c r="I412" s="13"/>
      <c r="J412" s="64"/>
      <c r="K412" s="63"/>
      <c r="L412" s="63"/>
      <c r="M412" s="64"/>
      <c r="N412" s="13"/>
      <c r="Q412" s="26" t="s">
        <v>422</v>
      </c>
      <c r="R412" s="26"/>
      <c r="S412" s="65"/>
      <c r="T412" s="65"/>
      <c r="U412" s="13"/>
    </row>
    <row r="413">
      <c r="B413" s="51"/>
      <c r="C413" s="62"/>
      <c r="D413" s="13"/>
      <c r="E413" s="64"/>
      <c r="F413" s="64"/>
      <c r="G413" s="64"/>
      <c r="H413" s="64"/>
      <c r="I413" s="13"/>
      <c r="J413" s="64"/>
      <c r="K413" s="63"/>
      <c r="L413" s="63"/>
      <c r="M413" s="64"/>
      <c r="N413" s="13"/>
      <c r="Q413" s="26" t="s">
        <v>422</v>
      </c>
      <c r="R413" s="26"/>
      <c r="S413" s="65"/>
      <c r="T413" s="65"/>
      <c r="U413" s="13"/>
    </row>
    <row r="414">
      <c r="B414" s="51"/>
      <c r="C414" s="62"/>
      <c r="D414" s="13"/>
      <c r="E414" s="64"/>
      <c r="F414" s="64"/>
      <c r="G414" s="64"/>
      <c r="H414" s="64"/>
      <c r="I414" s="13"/>
      <c r="J414" s="64"/>
      <c r="K414" s="63"/>
      <c r="L414" s="63"/>
      <c r="M414" s="64"/>
      <c r="N414" s="13"/>
      <c r="Q414" s="26" t="s">
        <v>422</v>
      </c>
      <c r="R414" s="26"/>
      <c r="S414" s="65"/>
      <c r="T414" s="65"/>
      <c r="U414" s="13"/>
    </row>
    <row r="415">
      <c r="B415" s="51"/>
      <c r="C415" s="62"/>
      <c r="D415" s="13"/>
      <c r="E415" s="64"/>
      <c r="F415" s="64"/>
      <c r="G415" s="64"/>
      <c r="H415" s="64"/>
      <c r="I415" s="13"/>
      <c r="J415" s="64"/>
      <c r="K415" s="63"/>
      <c r="L415" s="63"/>
      <c r="M415" s="64"/>
      <c r="N415" s="13"/>
      <c r="Q415" s="26" t="s">
        <v>422</v>
      </c>
      <c r="R415" s="26"/>
      <c r="S415" s="65"/>
      <c r="T415" s="65"/>
      <c r="U415" s="13"/>
    </row>
    <row r="416">
      <c r="B416" s="51"/>
      <c r="C416" s="62"/>
      <c r="D416" s="13"/>
      <c r="E416" s="64"/>
      <c r="F416" s="64"/>
      <c r="G416" s="64"/>
      <c r="H416" s="64"/>
      <c r="I416" s="13"/>
      <c r="J416" s="64"/>
      <c r="K416" s="63"/>
      <c r="L416" s="63"/>
      <c r="M416" s="64"/>
      <c r="N416" s="13"/>
      <c r="Q416" s="26" t="s">
        <v>422</v>
      </c>
      <c r="R416" s="26"/>
      <c r="S416" s="65"/>
      <c r="T416" s="65"/>
      <c r="U416" s="13"/>
    </row>
    <row r="417">
      <c r="B417" s="51"/>
      <c r="C417" s="62"/>
      <c r="D417" s="13"/>
      <c r="E417" s="64"/>
      <c r="F417" s="64"/>
      <c r="G417" s="64"/>
      <c r="H417" s="64"/>
      <c r="I417" s="13"/>
      <c r="J417" s="64"/>
      <c r="K417" s="63"/>
      <c r="L417" s="63"/>
      <c r="M417" s="64"/>
      <c r="N417" s="13"/>
      <c r="Q417" s="26" t="s">
        <v>422</v>
      </c>
      <c r="R417" s="26"/>
      <c r="S417" s="65"/>
      <c r="T417" s="65"/>
      <c r="U417" s="13"/>
    </row>
    <row r="418">
      <c r="B418" s="51"/>
      <c r="C418" s="62"/>
      <c r="D418" s="13"/>
      <c r="E418" s="64"/>
      <c r="F418" s="64"/>
      <c r="G418" s="64"/>
      <c r="H418" s="64"/>
      <c r="I418" s="13"/>
      <c r="J418" s="64"/>
      <c r="K418" s="63"/>
      <c r="L418" s="63"/>
      <c r="M418" s="64"/>
      <c r="N418" s="13"/>
      <c r="Q418" s="26" t="s">
        <v>422</v>
      </c>
      <c r="R418" s="26"/>
      <c r="S418" s="65"/>
      <c r="T418" s="65"/>
      <c r="U418" s="13"/>
    </row>
    <row r="419">
      <c r="B419" s="51"/>
      <c r="C419" s="62"/>
      <c r="D419" s="13"/>
      <c r="E419" s="64"/>
      <c r="F419" s="64"/>
      <c r="G419" s="64"/>
      <c r="H419" s="64"/>
      <c r="I419" s="13"/>
      <c r="J419" s="64"/>
      <c r="K419" s="63"/>
      <c r="L419" s="63"/>
      <c r="M419" s="64"/>
      <c r="N419" s="13"/>
      <c r="Q419" s="26" t="s">
        <v>422</v>
      </c>
      <c r="R419" s="26"/>
      <c r="S419" s="65"/>
      <c r="T419" s="65"/>
      <c r="U419" s="13"/>
    </row>
    <row r="420">
      <c r="B420" s="51"/>
      <c r="C420" s="62"/>
      <c r="D420" s="13"/>
      <c r="E420" s="64"/>
      <c r="F420" s="64"/>
      <c r="G420" s="64"/>
      <c r="H420" s="64"/>
      <c r="I420" s="13"/>
      <c r="J420" s="64"/>
      <c r="K420" s="63"/>
      <c r="L420" s="63"/>
      <c r="M420" s="64"/>
      <c r="N420" s="13"/>
      <c r="Q420" s="26" t="s">
        <v>422</v>
      </c>
      <c r="R420" s="26"/>
      <c r="S420" s="65"/>
      <c r="T420" s="65"/>
      <c r="U420" s="13"/>
    </row>
    <row r="421">
      <c r="B421" s="51"/>
      <c r="C421" s="62"/>
      <c r="D421" s="13"/>
      <c r="E421" s="64"/>
      <c r="F421" s="64"/>
      <c r="G421" s="64"/>
      <c r="H421" s="64"/>
      <c r="I421" s="13"/>
      <c r="J421" s="64"/>
      <c r="K421" s="63"/>
      <c r="L421" s="63"/>
      <c r="M421" s="64"/>
      <c r="N421" s="13"/>
      <c r="Q421" s="26" t="s">
        <v>422</v>
      </c>
      <c r="R421" s="26"/>
      <c r="S421" s="65"/>
      <c r="T421" s="65"/>
      <c r="U421" s="13"/>
    </row>
    <row r="422">
      <c r="B422" s="51"/>
      <c r="C422" s="62"/>
      <c r="D422" s="13"/>
      <c r="E422" s="64"/>
      <c r="F422" s="64"/>
      <c r="G422" s="64"/>
      <c r="H422" s="64"/>
      <c r="I422" s="13"/>
      <c r="J422" s="64"/>
      <c r="K422" s="63"/>
      <c r="L422" s="63"/>
      <c r="M422" s="64"/>
      <c r="N422" s="13"/>
      <c r="Q422" s="26" t="s">
        <v>422</v>
      </c>
      <c r="R422" s="26"/>
      <c r="S422" s="65"/>
      <c r="T422" s="65"/>
      <c r="U422" s="13"/>
    </row>
    <row r="423">
      <c r="B423" s="51"/>
      <c r="C423" s="62"/>
      <c r="D423" s="13"/>
      <c r="E423" s="64"/>
      <c r="F423" s="64"/>
      <c r="G423" s="64"/>
      <c r="H423" s="64"/>
      <c r="I423" s="13"/>
      <c r="J423" s="64"/>
      <c r="K423" s="63"/>
      <c r="L423" s="63"/>
      <c r="M423" s="64"/>
      <c r="N423" s="13"/>
      <c r="Q423" s="26" t="s">
        <v>422</v>
      </c>
      <c r="R423" s="26"/>
      <c r="S423" s="65"/>
      <c r="T423" s="65"/>
      <c r="U423" s="13"/>
    </row>
    <row r="424">
      <c r="B424" s="51"/>
      <c r="C424" s="62"/>
      <c r="D424" s="13"/>
      <c r="E424" s="64"/>
      <c r="F424" s="64"/>
      <c r="G424" s="64"/>
      <c r="H424" s="64"/>
      <c r="I424" s="13"/>
      <c r="J424" s="64"/>
      <c r="K424" s="63"/>
      <c r="L424" s="63"/>
      <c r="M424" s="64"/>
      <c r="N424" s="13"/>
      <c r="Q424" s="26" t="s">
        <v>422</v>
      </c>
      <c r="R424" s="26"/>
      <c r="S424" s="65"/>
      <c r="T424" s="65"/>
      <c r="U424" s="13"/>
    </row>
    <row r="425">
      <c r="B425" s="51"/>
      <c r="C425" s="62"/>
      <c r="D425" s="13"/>
      <c r="E425" s="64"/>
      <c r="F425" s="64"/>
      <c r="G425" s="64"/>
      <c r="H425" s="64"/>
      <c r="I425" s="13"/>
      <c r="J425" s="64"/>
      <c r="K425" s="63"/>
      <c r="L425" s="63"/>
      <c r="M425" s="64"/>
      <c r="N425" s="13"/>
      <c r="Q425" s="26" t="s">
        <v>422</v>
      </c>
      <c r="R425" s="26"/>
      <c r="S425" s="65"/>
      <c r="T425" s="65"/>
      <c r="U425" s="13"/>
    </row>
    <row r="426">
      <c r="B426" s="51"/>
      <c r="C426" s="62"/>
      <c r="D426" s="13"/>
      <c r="E426" s="64"/>
      <c r="F426" s="64"/>
      <c r="G426" s="64"/>
      <c r="H426" s="64"/>
      <c r="I426" s="13"/>
      <c r="J426" s="64"/>
      <c r="K426" s="63"/>
      <c r="L426" s="63"/>
      <c r="M426" s="64"/>
      <c r="N426" s="13"/>
      <c r="Q426" s="26" t="s">
        <v>422</v>
      </c>
      <c r="R426" s="26"/>
      <c r="S426" s="65"/>
      <c r="T426" s="65"/>
      <c r="U426" s="13"/>
    </row>
    <row r="427">
      <c r="B427" s="51"/>
      <c r="C427" s="62"/>
      <c r="D427" s="13"/>
      <c r="E427" s="64"/>
      <c r="F427" s="64"/>
      <c r="G427" s="64"/>
      <c r="H427" s="64"/>
      <c r="I427" s="13"/>
      <c r="J427" s="64"/>
      <c r="K427" s="63"/>
      <c r="L427" s="63"/>
      <c r="M427" s="64"/>
      <c r="N427" s="13"/>
      <c r="Q427" s="26" t="s">
        <v>422</v>
      </c>
      <c r="R427" s="26"/>
      <c r="S427" s="65"/>
      <c r="T427" s="65"/>
      <c r="U427" s="13"/>
    </row>
    <row r="428">
      <c r="B428" s="51"/>
      <c r="C428" s="62"/>
      <c r="D428" s="13"/>
      <c r="E428" s="64"/>
      <c r="F428" s="64"/>
      <c r="G428" s="64"/>
      <c r="H428" s="64"/>
      <c r="I428" s="13"/>
      <c r="J428" s="64"/>
      <c r="K428" s="63"/>
      <c r="L428" s="63"/>
      <c r="M428" s="64"/>
      <c r="N428" s="13"/>
      <c r="Q428" s="26" t="s">
        <v>422</v>
      </c>
      <c r="R428" s="26"/>
      <c r="S428" s="65"/>
      <c r="T428" s="65"/>
      <c r="U428" s="13"/>
    </row>
    <row r="429">
      <c r="B429" s="51"/>
      <c r="C429" s="62"/>
      <c r="D429" s="13"/>
      <c r="E429" s="64"/>
      <c r="F429" s="64"/>
      <c r="G429" s="64"/>
      <c r="H429" s="64"/>
      <c r="I429" s="13"/>
      <c r="J429" s="64"/>
      <c r="K429" s="63"/>
      <c r="L429" s="63"/>
      <c r="M429" s="64"/>
      <c r="N429" s="13"/>
      <c r="Q429" s="26" t="s">
        <v>422</v>
      </c>
      <c r="R429" s="26"/>
      <c r="S429" s="65"/>
      <c r="T429" s="65"/>
      <c r="U429" s="13"/>
    </row>
    <row r="430">
      <c r="B430" s="51"/>
      <c r="C430" s="62"/>
      <c r="D430" s="13"/>
      <c r="E430" s="64"/>
      <c r="F430" s="64"/>
      <c r="G430" s="64"/>
      <c r="H430" s="64"/>
      <c r="I430" s="13"/>
      <c r="J430" s="64"/>
      <c r="K430" s="63"/>
      <c r="L430" s="63"/>
      <c r="M430" s="64"/>
      <c r="N430" s="13"/>
      <c r="Q430" s="26" t="s">
        <v>422</v>
      </c>
      <c r="R430" s="26"/>
      <c r="S430" s="65"/>
      <c r="T430" s="65"/>
      <c r="U430" s="13"/>
    </row>
    <row r="431">
      <c r="B431" s="51"/>
      <c r="C431" s="62"/>
      <c r="D431" s="13"/>
      <c r="E431" s="64"/>
      <c r="F431" s="64"/>
      <c r="G431" s="64"/>
      <c r="H431" s="64"/>
      <c r="I431" s="13"/>
      <c r="J431" s="64"/>
      <c r="K431" s="63"/>
      <c r="L431" s="63"/>
      <c r="M431" s="64"/>
      <c r="N431" s="13"/>
      <c r="Q431" s="26" t="s">
        <v>422</v>
      </c>
      <c r="R431" s="26"/>
      <c r="S431" s="65"/>
      <c r="T431" s="65"/>
      <c r="U431" s="13"/>
    </row>
    <row r="432">
      <c r="B432" s="51"/>
      <c r="C432" s="62"/>
      <c r="D432" s="13"/>
      <c r="E432" s="64"/>
      <c r="F432" s="64"/>
      <c r="G432" s="64"/>
      <c r="H432" s="64"/>
      <c r="I432" s="13"/>
      <c r="J432" s="64"/>
      <c r="K432" s="63"/>
      <c r="L432" s="63"/>
      <c r="M432" s="64"/>
      <c r="N432" s="13"/>
      <c r="Q432" s="26" t="s">
        <v>422</v>
      </c>
      <c r="R432" s="26"/>
      <c r="S432" s="65"/>
      <c r="T432" s="65"/>
      <c r="U432" s="13"/>
    </row>
    <row r="433">
      <c r="B433" s="51"/>
      <c r="C433" s="62"/>
      <c r="D433" s="13"/>
      <c r="E433" s="64"/>
      <c r="F433" s="64"/>
      <c r="G433" s="64"/>
      <c r="H433" s="64"/>
      <c r="I433" s="13"/>
      <c r="J433" s="64"/>
      <c r="K433" s="63"/>
      <c r="L433" s="63"/>
      <c r="M433" s="64"/>
      <c r="N433" s="13"/>
      <c r="Q433" s="26" t="s">
        <v>422</v>
      </c>
      <c r="R433" s="26"/>
      <c r="S433" s="65"/>
      <c r="T433" s="65"/>
      <c r="U433" s="13"/>
    </row>
    <row r="434">
      <c r="B434" s="51"/>
      <c r="C434" s="62"/>
      <c r="D434" s="13"/>
      <c r="E434" s="64"/>
      <c r="F434" s="64"/>
      <c r="G434" s="64"/>
      <c r="H434" s="64"/>
      <c r="I434" s="13"/>
      <c r="J434" s="64"/>
      <c r="K434" s="63"/>
      <c r="L434" s="63"/>
      <c r="M434" s="64"/>
      <c r="N434" s="13"/>
      <c r="Q434" s="26" t="s">
        <v>422</v>
      </c>
      <c r="R434" s="26"/>
      <c r="S434" s="65"/>
      <c r="T434" s="65"/>
      <c r="U434" s="13"/>
    </row>
    <row r="435">
      <c r="B435" s="51"/>
      <c r="C435" s="62"/>
      <c r="D435" s="13"/>
      <c r="E435" s="64"/>
      <c r="F435" s="64"/>
      <c r="G435" s="64"/>
      <c r="H435" s="64"/>
      <c r="I435" s="13"/>
      <c r="J435" s="64"/>
      <c r="K435" s="63"/>
      <c r="L435" s="63"/>
      <c r="M435" s="64"/>
      <c r="N435" s="13"/>
      <c r="Q435" s="26" t="s">
        <v>422</v>
      </c>
      <c r="R435" s="26"/>
      <c r="S435" s="65"/>
      <c r="T435" s="65"/>
      <c r="U435" s="13"/>
    </row>
    <row r="436">
      <c r="B436" s="51"/>
      <c r="C436" s="62"/>
      <c r="D436" s="13"/>
      <c r="E436" s="64"/>
      <c r="F436" s="64"/>
      <c r="G436" s="64"/>
      <c r="H436" s="64"/>
      <c r="I436" s="13"/>
      <c r="J436" s="64"/>
      <c r="K436" s="63"/>
      <c r="L436" s="63"/>
      <c r="M436" s="64"/>
      <c r="N436" s="13"/>
      <c r="Q436" s="26" t="s">
        <v>422</v>
      </c>
      <c r="R436" s="26"/>
      <c r="S436" s="65"/>
      <c r="T436" s="65"/>
      <c r="U436" s="13"/>
    </row>
    <row r="437">
      <c r="B437" s="51"/>
      <c r="C437" s="62"/>
      <c r="D437" s="13"/>
      <c r="E437" s="64"/>
      <c r="F437" s="64"/>
      <c r="G437" s="64"/>
      <c r="H437" s="64"/>
      <c r="I437" s="13"/>
      <c r="J437" s="64"/>
      <c r="K437" s="63"/>
      <c r="L437" s="63"/>
      <c r="M437" s="64"/>
      <c r="N437" s="13"/>
      <c r="Q437" s="26" t="s">
        <v>422</v>
      </c>
      <c r="R437" s="26"/>
      <c r="S437" s="65"/>
      <c r="T437" s="65"/>
      <c r="U437" s="13"/>
    </row>
    <row r="438">
      <c r="B438" s="51"/>
      <c r="C438" s="62"/>
      <c r="D438" s="13"/>
      <c r="E438" s="64"/>
      <c r="F438" s="64"/>
      <c r="G438" s="64"/>
      <c r="H438" s="64"/>
      <c r="I438" s="13"/>
      <c r="J438" s="64"/>
      <c r="K438" s="63"/>
      <c r="L438" s="63"/>
      <c r="M438" s="64"/>
      <c r="N438" s="13"/>
      <c r="Q438" s="26" t="s">
        <v>422</v>
      </c>
      <c r="R438" s="26"/>
      <c r="S438" s="65"/>
      <c r="T438" s="65"/>
      <c r="U438" s="13"/>
    </row>
    <row r="439">
      <c r="B439" s="51"/>
      <c r="C439" s="62"/>
      <c r="D439" s="13"/>
      <c r="E439" s="64"/>
      <c r="F439" s="64"/>
      <c r="G439" s="64"/>
      <c r="H439" s="64"/>
      <c r="I439" s="13"/>
      <c r="J439" s="64"/>
      <c r="K439" s="63"/>
      <c r="L439" s="63"/>
      <c r="M439" s="64"/>
      <c r="N439" s="13"/>
      <c r="Q439" s="26" t="s">
        <v>422</v>
      </c>
      <c r="R439" s="26"/>
      <c r="S439" s="65"/>
      <c r="T439" s="65"/>
      <c r="U439" s="13"/>
    </row>
    <row r="440">
      <c r="B440" s="51"/>
      <c r="C440" s="62"/>
      <c r="D440" s="13"/>
      <c r="E440" s="64"/>
      <c r="F440" s="64"/>
      <c r="G440" s="64"/>
      <c r="H440" s="64"/>
      <c r="I440" s="13"/>
      <c r="J440" s="64"/>
      <c r="K440" s="63"/>
      <c r="L440" s="63"/>
      <c r="M440" s="64"/>
      <c r="N440" s="13"/>
      <c r="Q440" s="26" t="s">
        <v>422</v>
      </c>
      <c r="R440" s="26"/>
      <c r="S440" s="65"/>
      <c r="T440" s="65"/>
      <c r="U440" s="13"/>
    </row>
    <row r="441">
      <c r="B441" s="51"/>
      <c r="C441" s="62"/>
      <c r="D441" s="13"/>
      <c r="E441" s="64"/>
      <c r="F441" s="64"/>
      <c r="G441" s="64"/>
      <c r="H441" s="64"/>
      <c r="I441" s="13"/>
      <c r="J441" s="64"/>
      <c r="K441" s="63"/>
      <c r="L441" s="63"/>
      <c r="M441" s="64"/>
      <c r="N441" s="13"/>
      <c r="Q441" s="26" t="s">
        <v>422</v>
      </c>
      <c r="R441" s="26"/>
      <c r="S441" s="65"/>
      <c r="T441" s="65"/>
      <c r="U441" s="13"/>
    </row>
    <row r="442">
      <c r="B442" s="51"/>
      <c r="C442" s="62"/>
      <c r="D442" s="13"/>
      <c r="E442" s="64"/>
      <c r="F442" s="64"/>
      <c r="G442" s="64"/>
      <c r="H442" s="64"/>
      <c r="I442" s="13"/>
      <c r="J442" s="64"/>
      <c r="K442" s="63"/>
      <c r="L442" s="63"/>
      <c r="M442" s="64"/>
      <c r="N442" s="13"/>
      <c r="Q442" s="26" t="s">
        <v>422</v>
      </c>
      <c r="R442" s="26"/>
      <c r="S442" s="65"/>
      <c r="T442" s="65"/>
      <c r="U442" s="13"/>
    </row>
    <row r="443">
      <c r="B443" s="51"/>
      <c r="C443" s="62"/>
      <c r="D443" s="13"/>
      <c r="E443" s="64"/>
      <c r="F443" s="64"/>
      <c r="G443" s="64"/>
      <c r="H443" s="64"/>
      <c r="I443" s="13"/>
      <c r="J443" s="64"/>
      <c r="K443" s="63"/>
      <c r="L443" s="63"/>
      <c r="M443" s="64"/>
      <c r="N443" s="13"/>
      <c r="Q443" s="26" t="s">
        <v>422</v>
      </c>
      <c r="R443" s="26"/>
      <c r="S443" s="65"/>
      <c r="T443" s="65"/>
      <c r="U443" s="13"/>
    </row>
    <row r="444">
      <c r="B444" s="51"/>
      <c r="C444" s="62"/>
      <c r="D444" s="13"/>
      <c r="E444" s="64"/>
      <c r="F444" s="64"/>
      <c r="G444" s="64"/>
      <c r="H444" s="64"/>
      <c r="I444" s="13"/>
      <c r="J444" s="64"/>
      <c r="K444" s="63"/>
      <c r="L444" s="63"/>
      <c r="M444" s="64"/>
      <c r="N444" s="13"/>
      <c r="Q444" s="26" t="s">
        <v>422</v>
      </c>
      <c r="R444" s="26"/>
      <c r="S444" s="65"/>
      <c r="T444" s="65"/>
      <c r="U444" s="13"/>
    </row>
    <row r="445">
      <c r="B445" s="51"/>
      <c r="C445" s="62"/>
      <c r="D445" s="13"/>
      <c r="E445" s="64"/>
      <c r="F445" s="64"/>
      <c r="G445" s="64"/>
      <c r="H445" s="64"/>
      <c r="I445" s="13"/>
      <c r="J445" s="64"/>
      <c r="K445" s="63"/>
      <c r="L445" s="63"/>
      <c r="M445" s="64"/>
      <c r="N445" s="13"/>
      <c r="Q445" s="26" t="s">
        <v>422</v>
      </c>
      <c r="R445" s="26"/>
      <c r="S445" s="65"/>
      <c r="T445" s="65"/>
      <c r="U445" s="13"/>
    </row>
    <row r="446">
      <c r="B446" s="51"/>
      <c r="C446" s="62"/>
      <c r="D446" s="13"/>
      <c r="E446" s="64"/>
      <c r="F446" s="64"/>
      <c r="G446" s="64"/>
      <c r="H446" s="64"/>
      <c r="I446" s="13"/>
      <c r="J446" s="64"/>
      <c r="K446" s="63"/>
      <c r="L446" s="63"/>
      <c r="M446" s="64"/>
      <c r="N446" s="13"/>
      <c r="Q446" s="26" t="s">
        <v>422</v>
      </c>
      <c r="R446" s="26"/>
      <c r="S446" s="65"/>
      <c r="T446" s="65"/>
      <c r="U446" s="13"/>
    </row>
    <row r="447">
      <c r="B447" s="51"/>
      <c r="C447" s="62"/>
      <c r="D447" s="13"/>
      <c r="E447" s="64"/>
      <c r="F447" s="64"/>
      <c r="G447" s="64"/>
      <c r="H447" s="64"/>
      <c r="I447" s="13"/>
      <c r="J447" s="64"/>
      <c r="K447" s="63"/>
      <c r="L447" s="63"/>
      <c r="M447" s="64"/>
      <c r="N447" s="13"/>
      <c r="Q447" s="26" t="s">
        <v>422</v>
      </c>
      <c r="R447" s="26"/>
      <c r="S447" s="65"/>
      <c r="T447" s="65"/>
      <c r="U447" s="13"/>
    </row>
    <row r="448">
      <c r="B448" s="51"/>
      <c r="C448" s="62"/>
      <c r="D448" s="13"/>
      <c r="E448" s="64"/>
      <c r="F448" s="64"/>
      <c r="G448" s="64"/>
      <c r="H448" s="64"/>
      <c r="I448" s="13"/>
      <c r="J448" s="64"/>
      <c r="K448" s="63"/>
      <c r="L448" s="63"/>
      <c r="M448" s="64"/>
      <c r="N448" s="13"/>
      <c r="Q448" s="26" t="s">
        <v>422</v>
      </c>
      <c r="R448" s="26"/>
      <c r="S448" s="65"/>
      <c r="T448" s="65"/>
      <c r="U448" s="13"/>
    </row>
    <row r="449">
      <c r="B449" s="51"/>
      <c r="C449" s="62"/>
      <c r="D449" s="13"/>
      <c r="E449" s="64"/>
      <c r="F449" s="64"/>
      <c r="G449" s="64"/>
      <c r="H449" s="64"/>
      <c r="I449" s="13"/>
      <c r="J449" s="64"/>
      <c r="K449" s="63"/>
      <c r="L449" s="63"/>
      <c r="M449" s="64"/>
      <c r="N449" s="13"/>
      <c r="Q449" s="26" t="s">
        <v>422</v>
      </c>
      <c r="R449" s="26"/>
      <c r="S449" s="65"/>
      <c r="T449" s="65"/>
      <c r="U449" s="13"/>
    </row>
    <row r="450">
      <c r="B450" s="51"/>
      <c r="C450" s="62"/>
      <c r="D450" s="13"/>
      <c r="E450" s="64"/>
      <c r="F450" s="64"/>
      <c r="G450" s="64"/>
      <c r="H450" s="64"/>
      <c r="I450" s="13"/>
      <c r="J450" s="64"/>
      <c r="K450" s="63"/>
      <c r="L450" s="63"/>
      <c r="M450" s="64"/>
      <c r="N450" s="13"/>
      <c r="Q450" s="26" t="s">
        <v>422</v>
      </c>
      <c r="R450" s="26"/>
      <c r="S450" s="65"/>
      <c r="T450" s="65"/>
      <c r="U450" s="13"/>
    </row>
    <row r="451">
      <c r="B451" s="51"/>
      <c r="C451" s="62"/>
      <c r="D451" s="13"/>
      <c r="E451" s="64"/>
      <c r="F451" s="64"/>
      <c r="G451" s="64"/>
      <c r="H451" s="64"/>
      <c r="I451" s="13"/>
      <c r="J451" s="64"/>
      <c r="K451" s="63"/>
      <c r="L451" s="63"/>
      <c r="M451" s="64"/>
      <c r="N451" s="13"/>
      <c r="Q451" s="26" t="s">
        <v>422</v>
      </c>
      <c r="R451" s="26"/>
      <c r="S451" s="65"/>
      <c r="T451" s="65"/>
      <c r="U451" s="13"/>
    </row>
    <row r="452">
      <c r="B452" s="51"/>
      <c r="C452" s="62"/>
      <c r="D452" s="13"/>
      <c r="E452" s="64"/>
      <c r="F452" s="64"/>
      <c r="G452" s="64"/>
      <c r="H452" s="64"/>
      <c r="I452" s="13"/>
      <c r="J452" s="64"/>
      <c r="K452" s="63"/>
      <c r="L452" s="63"/>
      <c r="M452" s="64"/>
      <c r="N452" s="13"/>
      <c r="Q452" s="26" t="s">
        <v>422</v>
      </c>
      <c r="R452" s="26"/>
      <c r="S452" s="65"/>
      <c r="T452" s="65"/>
      <c r="U452" s="13"/>
    </row>
    <row r="453">
      <c r="B453" s="51"/>
      <c r="C453" s="62"/>
      <c r="D453" s="13"/>
      <c r="E453" s="64"/>
      <c r="F453" s="64"/>
      <c r="G453" s="64"/>
      <c r="H453" s="64"/>
      <c r="I453" s="13"/>
      <c r="J453" s="64"/>
      <c r="K453" s="63"/>
      <c r="L453" s="63"/>
      <c r="M453" s="64"/>
      <c r="N453" s="13"/>
      <c r="Q453" s="26" t="s">
        <v>422</v>
      </c>
      <c r="R453" s="26"/>
      <c r="S453" s="65"/>
      <c r="T453" s="65"/>
      <c r="U453" s="13"/>
    </row>
    <row r="454">
      <c r="B454" s="51"/>
      <c r="C454" s="62"/>
      <c r="D454" s="13"/>
      <c r="E454" s="64"/>
      <c r="F454" s="64"/>
      <c r="G454" s="64"/>
      <c r="H454" s="64"/>
      <c r="I454" s="13"/>
      <c r="J454" s="64"/>
      <c r="K454" s="63"/>
      <c r="L454" s="63"/>
      <c r="M454" s="64"/>
      <c r="N454" s="13"/>
      <c r="Q454" s="26" t="s">
        <v>422</v>
      </c>
      <c r="R454" s="26"/>
      <c r="S454" s="65"/>
      <c r="T454" s="65"/>
      <c r="U454" s="13"/>
    </row>
    <row r="455">
      <c r="B455" s="51"/>
      <c r="C455" s="62"/>
      <c r="D455" s="13"/>
      <c r="E455" s="64"/>
      <c r="F455" s="64"/>
      <c r="G455" s="64"/>
      <c r="H455" s="64"/>
      <c r="I455" s="13"/>
      <c r="J455" s="64"/>
      <c r="K455" s="63"/>
      <c r="L455" s="63"/>
      <c r="M455" s="64"/>
      <c r="N455" s="13"/>
      <c r="Q455" s="26" t="s">
        <v>422</v>
      </c>
      <c r="R455" s="26"/>
      <c r="S455" s="65"/>
      <c r="T455" s="65"/>
      <c r="U455" s="13"/>
    </row>
    <row r="456">
      <c r="B456" s="51"/>
      <c r="C456" s="62"/>
      <c r="D456" s="13"/>
      <c r="E456" s="64"/>
      <c r="F456" s="64"/>
      <c r="G456" s="64"/>
      <c r="H456" s="64"/>
      <c r="I456" s="13"/>
      <c r="J456" s="64"/>
      <c r="K456" s="63"/>
      <c r="L456" s="63"/>
      <c r="M456" s="64"/>
      <c r="N456" s="13"/>
      <c r="Q456" s="26" t="s">
        <v>422</v>
      </c>
      <c r="R456" s="26"/>
      <c r="S456" s="65"/>
      <c r="T456" s="65"/>
      <c r="U456" s="13"/>
    </row>
    <row r="457">
      <c r="B457" s="51"/>
      <c r="C457" s="62"/>
      <c r="D457" s="13"/>
      <c r="E457" s="64"/>
      <c r="F457" s="64"/>
      <c r="G457" s="64"/>
      <c r="H457" s="64"/>
      <c r="I457" s="13"/>
      <c r="J457" s="64"/>
      <c r="K457" s="63"/>
      <c r="L457" s="63"/>
      <c r="M457" s="64"/>
      <c r="N457" s="13"/>
      <c r="Q457" s="26" t="s">
        <v>422</v>
      </c>
      <c r="R457" s="26"/>
      <c r="S457" s="65"/>
      <c r="T457" s="65"/>
      <c r="U457" s="13"/>
    </row>
    <row r="458">
      <c r="B458" s="51"/>
      <c r="C458" s="62"/>
      <c r="D458" s="13"/>
      <c r="E458" s="64"/>
      <c r="F458" s="64"/>
      <c r="G458" s="64"/>
      <c r="H458" s="64"/>
      <c r="I458" s="13"/>
      <c r="J458" s="64"/>
      <c r="K458" s="63"/>
      <c r="L458" s="63"/>
      <c r="M458" s="64"/>
      <c r="N458" s="13"/>
      <c r="Q458" s="26" t="s">
        <v>422</v>
      </c>
      <c r="R458" s="26"/>
      <c r="S458" s="65"/>
      <c r="T458" s="65"/>
      <c r="U458" s="13"/>
    </row>
    <row r="459">
      <c r="B459" s="51"/>
      <c r="C459" s="62"/>
      <c r="D459" s="13"/>
      <c r="E459" s="64"/>
      <c r="F459" s="64"/>
      <c r="G459" s="64"/>
      <c r="H459" s="64"/>
      <c r="I459" s="13"/>
      <c r="J459" s="64"/>
      <c r="K459" s="63"/>
      <c r="L459" s="63"/>
      <c r="M459" s="64"/>
      <c r="N459" s="13"/>
      <c r="Q459" s="26" t="s">
        <v>422</v>
      </c>
      <c r="R459" s="26"/>
      <c r="S459" s="65"/>
      <c r="T459" s="65"/>
      <c r="U459" s="13"/>
    </row>
    <row r="460">
      <c r="B460" s="51"/>
      <c r="C460" s="62"/>
      <c r="D460" s="13"/>
      <c r="E460" s="64"/>
      <c r="F460" s="64"/>
      <c r="G460" s="64"/>
      <c r="H460" s="64"/>
      <c r="I460" s="13"/>
      <c r="J460" s="64"/>
      <c r="K460" s="63"/>
      <c r="L460" s="63"/>
      <c r="M460" s="64"/>
      <c r="N460" s="13"/>
      <c r="Q460" s="26" t="s">
        <v>422</v>
      </c>
      <c r="R460" s="26"/>
      <c r="S460" s="65"/>
      <c r="T460" s="65"/>
      <c r="U460" s="13"/>
    </row>
    <row r="461">
      <c r="B461" s="51"/>
      <c r="C461" s="62"/>
      <c r="D461" s="13"/>
      <c r="E461" s="64"/>
      <c r="F461" s="64"/>
      <c r="G461" s="64"/>
      <c r="H461" s="64"/>
      <c r="I461" s="13"/>
      <c r="J461" s="64"/>
      <c r="K461" s="63"/>
      <c r="L461" s="63"/>
      <c r="M461" s="64"/>
      <c r="N461" s="13"/>
      <c r="Q461" s="26" t="s">
        <v>422</v>
      </c>
      <c r="R461" s="26"/>
      <c r="S461" s="65"/>
      <c r="T461" s="65"/>
      <c r="U461" s="13"/>
    </row>
    <row r="462">
      <c r="B462" s="51"/>
      <c r="C462" s="62"/>
      <c r="D462" s="13"/>
      <c r="E462" s="64"/>
      <c r="F462" s="64"/>
      <c r="G462" s="64"/>
      <c r="H462" s="64"/>
      <c r="I462" s="13"/>
      <c r="J462" s="64"/>
      <c r="K462" s="63"/>
      <c r="L462" s="63"/>
      <c r="M462" s="64"/>
      <c r="N462" s="13"/>
      <c r="Q462" s="26" t="s">
        <v>422</v>
      </c>
      <c r="R462" s="26"/>
      <c r="S462" s="65"/>
      <c r="T462" s="65"/>
      <c r="U462" s="13"/>
    </row>
    <row r="463">
      <c r="B463" s="51"/>
      <c r="C463" s="62"/>
      <c r="D463" s="13"/>
      <c r="E463" s="64"/>
      <c r="F463" s="64"/>
      <c r="G463" s="64"/>
      <c r="H463" s="64"/>
      <c r="I463" s="13"/>
      <c r="J463" s="64"/>
      <c r="K463" s="63"/>
      <c r="L463" s="63"/>
      <c r="M463" s="64"/>
      <c r="N463" s="13"/>
      <c r="Q463" s="26" t="s">
        <v>422</v>
      </c>
      <c r="R463" s="26"/>
      <c r="S463" s="65"/>
      <c r="T463" s="65"/>
      <c r="U463" s="13"/>
    </row>
    <row r="464">
      <c r="B464" s="51"/>
      <c r="C464" s="62"/>
      <c r="D464" s="13"/>
      <c r="E464" s="64"/>
      <c r="F464" s="64"/>
      <c r="G464" s="64"/>
      <c r="H464" s="64"/>
      <c r="I464" s="13"/>
      <c r="J464" s="64"/>
      <c r="K464" s="63"/>
      <c r="L464" s="63"/>
      <c r="M464" s="64"/>
      <c r="N464" s="13"/>
      <c r="Q464" s="26" t="s">
        <v>422</v>
      </c>
      <c r="R464" s="26"/>
      <c r="S464" s="65"/>
      <c r="T464" s="65"/>
      <c r="U464" s="13"/>
    </row>
    <row r="465">
      <c r="B465" s="51"/>
      <c r="C465" s="62"/>
      <c r="D465" s="13"/>
      <c r="E465" s="64"/>
      <c r="F465" s="64"/>
      <c r="G465" s="64"/>
      <c r="H465" s="64"/>
      <c r="I465" s="13"/>
      <c r="J465" s="64"/>
      <c r="K465" s="63"/>
      <c r="L465" s="63"/>
      <c r="M465" s="64"/>
      <c r="N465" s="13"/>
      <c r="Q465" s="26" t="s">
        <v>422</v>
      </c>
      <c r="R465" s="26"/>
      <c r="S465" s="65"/>
      <c r="T465" s="65"/>
      <c r="U465" s="13"/>
    </row>
    <row r="466">
      <c r="B466" s="51"/>
      <c r="C466" s="62"/>
      <c r="D466" s="13"/>
      <c r="E466" s="64"/>
      <c r="F466" s="64"/>
      <c r="G466" s="64"/>
      <c r="H466" s="64"/>
      <c r="I466" s="13"/>
      <c r="J466" s="64"/>
      <c r="K466" s="63"/>
      <c r="L466" s="63"/>
      <c r="M466" s="64"/>
      <c r="N466" s="13"/>
      <c r="Q466" s="26" t="s">
        <v>422</v>
      </c>
      <c r="R466" s="26"/>
      <c r="S466" s="65"/>
      <c r="T466" s="65"/>
      <c r="U466" s="13"/>
    </row>
    <row r="467">
      <c r="B467" s="51"/>
      <c r="C467" s="62"/>
      <c r="D467" s="13"/>
      <c r="E467" s="64"/>
      <c r="F467" s="64"/>
      <c r="G467" s="64"/>
      <c r="H467" s="64"/>
      <c r="I467" s="13"/>
      <c r="J467" s="64"/>
      <c r="K467" s="63"/>
      <c r="L467" s="63"/>
      <c r="M467" s="64"/>
      <c r="N467" s="13"/>
      <c r="Q467" s="26" t="s">
        <v>422</v>
      </c>
      <c r="R467" s="26"/>
      <c r="S467" s="65"/>
      <c r="T467" s="65"/>
      <c r="U467" s="13"/>
    </row>
    <row r="468">
      <c r="B468" s="51"/>
      <c r="C468" s="62"/>
      <c r="D468" s="13"/>
      <c r="E468" s="64"/>
      <c r="F468" s="64"/>
      <c r="G468" s="64"/>
      <c r="H468" s="64"/>
      <c r="I468" s="13"/>
      <c r="J468" s="64"/>
      <c r="K468" s="63"/>
      <c r="L468" s="63"/>
      <c r="M468" s="64"/>
      <c r="N468" s="13"/>
      <c r="Q468" s="26" t="s">
        <v>422</v>
      </c>
      <c r="R468" s="26"/>
      <c r="S468" s="65"/>
      <c r="T468" s="65"/>
      <c r="U468" s="13"/>
    </row>
    <row r="469">
      <c r="B469" s="51"/>
      <c r="C469" s="62"/>
      <c r="D469" s="13"/>
      <c r="E469" s="64"/>
      <c r="F469" s="64"/>
      <c r="G469" s="64"/>
      <c r="H469" s="64"/>
      <c r="I469" s="13"/>
      <c r="J469" s="64"/>
      <c r="K469" s="63"/>
      <c r="L469" s="63"/>
      <c r="M469" s="64"/>
      <c r="N469" s="13"/>
      <c r="Q469" s="26" t="s">
        <v>422</v>
      </c>
      <c r="R469" s="26"/>
      <c r="S469" s="65"/>
      <c r="T469" s="65"/>
      <c r="U469" s="13"/>
    </row>
    <row r="470">
      <c r="B470" s="51"/>
      <c r="C470" s="62"/>
      <c r="D470" s="13"/>
      <c r="E470" s="64"/>
      <c r="F470" s="64"/>
      <c r="G470" s="64"/>
      <c r="H470" s="64"/>
      <c r="I470" s="13"/>
      <c r="J470" s="64"/>
      <c r="K470" s="63"/>
      <c r="L470" s="63"/>
      <c r="M470" s="64"/>
      <c r="N470" s="13"/>
      <c r="Q470" s="26" t="s">
        <v>422</v>
      </c>
      <c r="R470" s="26"/>
      <c r="S470" s="65"/>
      <c r="T470" s="65"/>
      <c r="U470" s="13"/>
    </row>
    <row r="471">
      <c r="B471" s="51"/>
      <c r="C471" s="62"/>
      <c r="D471" s="13"/>
      <c r="E471" s="64"/>
      <c r="F471" s="64"/>
      <c r="G471" s="64"/>
      <c r="H471" s="64"/>
      <c r="I471" s="13"/>
      <c r="J471" s="64"/>
      <c r="K471" s="63"/>
      <c r="L471" s="63"/>
      <c r="M471" s="64"/>
      <c r="N471" s="13"/>
      <c r="Q471" s="26" t="s">
        <v>422</v>
      </c>
      <c r="R471" s="26"/>
      <c r="S471" s="65"/>
      <c r="T471" s="65"/>
      <c r="U471" s="13"/>
    </row>
    <row r="472">
      <c r="B472" s="51"/>
      <c r="C472" s="62"/>
      <c r="D472" s="13"/>
      <c r="E472" s="64"/>
      <c r="F472" s="64"/>
      <c r="G472" s="64"/>
      <c r="H472" s="64"/>
      <c r="I472" s="13"/>
      <c r="J472" s="64"/>
      <c r="K472" s="63"/>
      <c r="L472" s="63"/>
      <c r="M472" s="64"/>
      <c r="N472" s="13"/>
      <c r="Q472" s="26" t="s">
        <v>422</v>
      </c>
      <c r="R472" s="26"/>
      <c r="S472" s="65"/>
      <c r="T472" s="65"/>
      <c r="U472" s="13"/>
    </row>
    <row r="473">
      <c r="B473" s="51"/>
      <c r="C473" s="62"/>
      <c r="D473" s="13"/>
      <c r="E473" s="64"/>
      <c r="F473" s="64"/>
      <c r="G473" s="64"/>
      <c r="H473" s="64"/>
      <c r="I473" s="13"/>
      <c r="J473" s="64"/>
      <c r="K473" s="63"/>
      <c r="L473" s="63"/>
      <c r="M473" s="64"/>
      <c r="N473" s="13"/>
      <c r="Q473" s="26" t="s">
        <v>422</v>
      </c>
      <c r="R473" s="26"/>
      <c r="S473" s="65"/>
      <c r="T473" s="65"/>
      <c r="U473" s="13"/>
    </row>
    <row r="474">
      <c r="B474" s="51"/>
      <c r="C474" s="62"/>
      <c r="D474" s="13"/>
      <c r="E474" s="64"/>
      <c r="F474" s="64"/>
      <c r="G474" s="64"/>
      <c r="H474" s="64"/>
      <c r="I474" s="13"/>
      <c r="J474" s="64"/>
      <c r="K474" s="63"/>
      <c r="L474" s="63"/>
      <c r="M474" s="64"/>
      <c r="N474" s="13"/>
      <c r="Q474" s="26" t="s">
        <v>422</v>
      </c>
      <c r="R474" s="26"/>
      <c r="S474" s="65"/>
      <c r="T474" s="65"/>
      <c r="U474" s="13"/>
    </row>
    <row r="475">
      <c r="B475" s="51"/>
      <c r="C475" s="62"/>
      <c r="D475" s="13"/>
      <c r="E475" s="64"/>
      <c r="F475" s="64"/>
      <c r="G475" s="64"/>
      <c r="H475" s="64"/>
      <c r="I475" s="13"/>
      <c r="J475" s="64"/>
      <c r="K475" s="63"/>
      <c r="L475" s="63"/>
      <c r="M475" s="64"/>
      <c r="N475" s="13"/>
      <c r="Q475" s="26" t="s">
        <v>422</v>
      </c>
      <c r="R475" s="26"/>
      <c r="S475" s="65"/>
      <c r="T475" s="65"/>
      <c r="U475" s="13"/>
    </row>
    <row r="476">
      <c r="B476" s="51"/>
      <c r="C476" s="62"/>
      <c r="D476" s="13"/>
      <c r="E476" s="64"/>
      <c r="F476" s="64"/>
      <c r="G476" s="64"/>
      <c r="H476" s="64"/>
      <c r="I476" s="13"/>
      <c r="J476" s="64"/>
      <c r="K476" s="63"/>
      <c r="L476" s="63"/>
      <c r="M476" s="64"/>
      <c r="N476" s="13"/>
      <c r="Q476" s="26" t="s">
        <v>422</v>
      </c>
      <c r="R476" s="26"/>
      <c r="S476" s="65"/>
      <c r="T476" s="65"/>
      <c r="U476" s="13"/>
    </row>
    <row r="477">
      <c r="B477" s="51"/>
      <c r="C477" s="62"/>
      <c r="D477" s="13"/>
      <c r="E477" s="64"/>
      <c r="F477" s="64"/>
      <c r="G477" s="64"/>
      <c r="H477" s="64"/>
      <c r="I477" s="13"/>
      <c r="J477" s="64"/>
      <c r="K477" s="63"/>
      <c r="L477" s="63"/>
      <c r="M477" s="64"/>
      <c r="N477" s="13"/>
      <c r="Q477" s="26" t="s">
        <v>422</v>
      </c>
      <c r="R477" s="26"/>
      <c r="S477" s="65"/>
      <c r="T477" s="65"/>
      <c r="U477" s="13"/>
    </row>
    <row r="478">
      <c r="B478" s="51"/>
      <c r="C478" s="62"/>
      <c r="D478" s="13"/>
      <c r="E478" s="64"/>
      <c r="F478" s="64"/>
      <c r="G478" s="64"/>
      <c r="H478" s="64"/>
      <c r="I478" s="13"/>
      <c r="J478" s="64"/>
      <c r="K478" s="63"/>
      <c r="L478" s="63"/>
      <c r="M478" s="64"/>
      <c r="N478" s="13"/>
      <c r="Q478" s="26" t="s">
        <v>422</v>
      </c>
      <c r="R478" s="26"/>
      <c r="S478" s="65"/>
      <c r="T478" s="65"/>
      <c r="U478" s="13"/>
    </row>
    <row r="479">
      <c r="B479" s="51"/>
      <c r="C479" s="62"/>
      <c r="D479" s="13"/>
      <c r="E479" s="64"/>
      <c r="F479" s="64"/>
      <c r="G479" s="64"/>
      <c r="H479" s="64"/>
      <c r="I479" s="13"/>
      <c r="J479" s="64"/>
      <c r="K479" s="63"/>
      <c r="L479" s="63"/>
      <c r="M479" s="64"/>
      <c r="N479" s="13"/>
      <c r="Q479" s="26" t="s">
        <v>422</v>
      </c>
      <c r="R479" s="26"/>
      <c r="S479" s="65"/>
      <c r="T479" s="65"/>
      <c r="U479" s="13"/>
    </row>
    <row r="480">
      <c r="B480" s="51"/>
      <c r="C480" s="62"/>
      <c r="D480" s="13"/>
      <c r="E480" s="64"/>
      <c r="F480" s="64"/>
      <c r="G480" s="64"/>
      <c r="H480" s="64"/>
      <c r="I480" s="13"/>
      <c r="J480" s="64"/>
      <c r="K480" s="63"/>
      <c r="L480" s="63"/>
      <c r="M480" s="64"/>
      <c r="N480" s="13"/>
      <c r="Q480" s="26" t="s">
        <v>422</v>
      </c>
      <c r="R480" s="26"/>
      <c r="S480" s="65"/>
      <c r="T480" s="65"/>
      <c r="U480" s="13"/>
    </row>
    <row r="481">
      <c r="B481" s="51"/>
      <c r="C481" s="62"/>
      <c r="D481" s="13"/>
      <c r="E481" s="64"/>
      <c r="F481" s="64"/>
      <c r="G481" s="64"/>
      <c r="H481" s="64"/>
      <c r="I481" s="13"/>
      <c r="J481" s="64"/>
      <c r="K481" s="63"/>
      <c r="L481" s="63"/>
      <c r="M481" s="64"/>
      <c r="N481" s="13"/>
      <c r="Q481" s="26" t="s">
        <v>422</v>
      </c>
      <c r="R481" s="26"/>
      <c r="S481" s="65"/>
      <c r="T481" s="65"/>
      <c r="U481" s="13"/>
    </row>
    <row r="482">
      <c r="B482" s="51"/>
      <c r="C482" s="62"/>
      <c r="D482" s="13"/>
      <c r="E482" s="64"/>
      <c r="F482" s="64"/>
      <c r="G482" s="64"/>
      <c r="H482" s="64"/>
      <c r="I482" s="13"/>
      <c r="J482" s="64"/>
      <c r="K482" s="63"/>
      <c r="L482" s="63"/>
      <c r="M482" s="64"/>
      <c r="N482" s="13"/>
      <c r="Q482" s="26" t="s">
        <v>422</v>
      </c>
      <c r="R482" s="26"/>
      <c r="S482" s="65"/>
      <c r="T482" s="65"/>
      <c r="U482" s="13"/>
    </row>
    <row r="483">
      <c r="B483" s="51"/>
      <c r="C483" s="62"/>
      <c r="D483" s="13"/>
      <c r="E483" s="64"/>
      <c r="F483" s="64"/>
      <c r="G483" s="64"/>
      <c r="H483" s="64"/>
      <c r="I483" s="13"/>
      <c r="J483" s="64"/>
      <c r="K483" s="63"/>
      <c r="L483" s="63"/>
      <c r="M483" s="64"/>
      <c r="N483" s="13"/>
      <c r="Q483" s="26" t="s">
        <v>422</v>
      </c>
      <c r="R483" s="26"/>
      <c r="S483" s="65"/>
      <c r="T483" s="65"/>
      <c r="U483" s="13"/>
    </row>
    <row r="484">
      <c r="B484" s="51"/>
      <c r="C484" s="62"/>
      <c r="D484" s="13"/>
      <c r="E484" s="64"/>
      <c r="F484" s="64"/>
      <c r="G484" s="64"/>
      <c r="H484" s="64"/>
      <c r="I484" s="13"/>
      <c r="J484" s="64"/>
      <c r="K484" s="63"/>
      <c r="L484" s="63"/>
      <c r="M484" s="64"/>
      <c r="N484" s="13"/>
      <c r="Q484" s="26" t="s">
        <v>422</v>
      </c>
      <c r="R484" s="26"/>
      <c r="S484" s="65"/>
      <c r="T484" s="65"/>
      <c r="U484" s="13"/>
    </row>
    <row r="485">
      <c r="B485" s="51"/>
      <c r="C485" s="62"/>
      <c r="D485" s="13"/>
      <c r="E485" s="64"/>
      <c r="F485" s="64"/>
      <c r="G485" s="64"/>
      <c r="H485" s="64"/>
      <c r="I485" s="13"/>
      <c r="J485" s="64"/>
      <c r="K485" s="63"/>
      <c r="L485" s="63"/>
      <c r="M485" s="64"/>
      <c r="N485" s="13"/>
      <c r="Q485" s="26" t="s">
        <v>422</v>
      </c>
      <c r="R485" s="26"/>
      <c r="S485" s="65"/>
      <c r="T485" s="65"/>
      <c r="U485" s="13"/>
    </row>
    <row r="486">
      <c r="B486" s="51"/>
      <c r="C486" s="62"/>
      <c r="D486" s="13"/>
      <c r="E486" s="64"/>
      <c r="F486" s="64"/>
      <c r="G486" s="64"/>
      <c r="H486" s="64"/>
      <c r="I486" s="13"/>
      <c r="J486" s="64"/>
      <c r="K486" s="63"/>
      <c r="L486" s="63"/>
      <c r="M486" s="64"/>
      <c r="N486" s="13"/>
      <c r="Q486" s="26" t="s">
        <v>422</v>
      </c>
      <c r="R486" s="26"/>
      <c r="S486" s="65"/>
      <c r="T486" s="65"/>
      <c r="U486" s="13"/>
    </row>
    <row r="487">
      <c r="B487" s="51"/>
      <c r="C487" s="62"/>
      <c r="D487" s="13"/>
      <c r="E487" s="64"/>
      <c r="F487" s="64"/>
      <c r="G487" s="64"/>
      <c r="H487" s="64"/>
      <c r="I487" s="13"/>
      <c r="J487" s="64"/>
      <c r="K487" s="63"/>
      <c r="L487" s="63"/>
      <c r="M487" s="64"/>
      <c r="N487" s="13"/>
      <c r="Q487" s="26" t="s">
        <v>422</v>
      </c>
      <c r="R487" s="26"/>
      <c r="S487" s="65"/>
      <c r="T487" s="65"/>
      <c r="U487" s="13"/>
    </row>
    <row r="488">
      <c r="B488" s="51"/>
      <c r="C488" s="62"/>
      <c r="D488" s="13"/>
      <c r="E488" s="64"/>
      <c r="F488" s="64"/>
      <c r="G488" s="64"/>
      <c r="H488" s="64"/>
      <c r="I488" s="13"/>
      <c r="J488" s="64"/>
      <c r="K488" s="63"/>
      <c r="L488" s="63"/>
      <c r="M488" s="64"/>
      <c r="N488" s="13"/>
      <c r="Q488" s="26" t="s">
        <v>422</v>
      </c>
      <c r="R488" s="26"/>
      <c r="S488" s="65"/>
      <c r="T488" s="65"/>
      <c r="U488" s="13"/>
    </row>
    <row r="489">
      <c r="B489" s="51"/>
      <c r="C489" s="62"/>
      <c r="D489" s="13"/>
      <c r="E489" s="64"/>
      <c r="F489" s="64"/>
      <c r="G489" s="64"/>
      <c r="H489" s="64"/>
      <c r="I489" s="13"/>
      <c r="J489" s="64"/>
      <c r="K489" s="63"/>
      <c r="L489" s="63"/>
      <c r="M489" s="64"/>
      <c r="N489" s="13"/>
      <c r="Q489" s="26" t="s">
        <v>422</v>
      </c>
      <c r="R489" s="26"/>
      <c r="S489" s="65"/>
      <c r="T489" s="65"/>
      <c r="U489" s="13"/>
    </row>
    <row r="490">
      <c r="B490" s="51"/>
      <c r="C490" s="62"/>
      <c r="D490" s="13"/>
      <c r="E490" s="64"/>
      <c r="F490" s="64"/>
      <c r="G490" s="64"/>
      <c r="H490" s="64"/>
      <c r="I490" s="13"/>
      <c r="J490" s="64"/>
      <c r="K490" s="63"/>
      <c r="L490" s="63"/>
      <c r="M490" s="64"/>
      <c r="N490" s="13"/>
      <c r="Q490" s="26" t="s">
        <v>422</v>
      </c>
      <c r="R490" s="26"/>
      <c r="S490" s="65"/>
      <c r="T490" s="65"/>
      <c r="U490" s="13"/>
    </row>
    <row r="491">
      <c r="B491" s="51"/>
      <c r="C491" s="62"/>
      <c r="D491" s="13"/>
      <c r="E491" s="64"/>
      <c r="F491" s="64"/>
      <c r="G491" s="64"/>
      <c r="H491" s="64"/>
      <c r="I491" s="13"/>
      <c r="J491" s="64"/>
      <c r="K491" s="63"/>
      <c r="L491" s="63"/>
      <c r="M491" s="64"/>
      <c r="N491" s="13"/>
      <c r="Q491" s="26" t="s">
        <v>422</v>
      </c>
      <c r="R491" s="26"/>
      <c r="S491" s="65"/>
      <c r="T491" s="65"/>
      <c r="U491" s="13"/>
    </row>
    <row r="492">
      <c r="B492" s="51"/>
      <c r="C492" s="62"/>
      <c r="D492" s="13"/>
      <c r="E492" s="64"/>
      <c r="F492" s="64"/>
      <c r="G492" s="64"/>
      <c r="H492" s="64"/>
      <c r="I492" s="13"/>
      <c r="J492" s="64"/>
      <c r="K492" s="63"/>
      <c r="L492" s="63"/>
      <c r="M492" s="64"/>
      <c r="N492" s="13"/>
      <c r="Q492" s="26" t="s">
        <v>422</v>
      </c>
      <c r="R492" s="26"/>
      <c r="S492" s="65"/>
      <c r="T492" s="65"/>
      <c r="U492" s="13"/>
    </row>
    <row r="493">
      <c r="B493" s="51"/>
      <c r="C493" s="62"/>
      <c r="D493" s="13"/>
      <c r="E493" s="64"/>
      <c r="F493" s="64"/>
      <c r="G493" s="64"/>
      <c r="H493" s="64"/>
      <c r="I493" s="13"/>
      <c r="J493" s="64"/>
      <c r="K493" s="63"/>
      <c r="L493" s="63"/>
      <c r="M493" s="64"/>
      <c r="N493" s="13"/>
      <c r="Q493" s="26" t="s">
        <v>422</v>
      </c>
      <c r="R493" s="26"/>
      <c r="S493" s="65"/>
      <c r="T493" s="65"/>
      <c r="U493" s="13"/>
    </row>
    <row r="494">
      <c r="B494" s="51"/>
      <c r="C494" s="62"/>
      <c r="D494" s="13"/>
      <c r="E494" s="64"/>
      <c r="F494" s="64"/>
      <c r="G494" s="64"/>
      <c r="H494" s="64"/>
      <c r="I494" s="13"/>
      <c r="J494" s="64"/>
      <c r="K494" s="63"/>
      <c r="L494" s="63"/>
      <c r="M494" s="64"/>
      <c r="N494" s="13"/>
      <c r="Q494" s="26" t="s">
        <v>422</v>
      </c>
      <c r="R494" s="26"/>
      <c r="S494" s="65"/>
      <c r="T494" s="65"/>
      <c r="U494" s="13"/>
    </row>
    <row r="495">
      <c r="B495" s="51"/>
      <c r="C495" s="62"/>
      <c r="D495" s="13"/>
      <c r="E495" s="64"/>
      <c r="F495" s="64"/>
      <c r="G495" s="64"/>
      <c r="H495" s="64"/>
      <c r="I495" s="13"/>
      <c r="J495" s="64"/>
      <c r="K495" s="63"/>
      <c r="L495" s="63"/>
      <c r="M495" s="64"/>
      <c r="N495" s="13"/>
      <c r="Q495" s="26" t="s">
        <v>422</v>
      </c>
      <c r="R495" s="26"/>
      <c r="S495" s="65"/>
      <c r="T495" s="65"/>
      <c r="U495" s="13"/>
    </row>
    <row r="496">
      <c r="B496" s="51"/>
      <c r="C496" s="62"/>
      <c r="D496" s="13"/>
      <c r="E496" s="64"/>
      <c r="F496" s="64"/>
      <c r="G496" s="64"/>
      <c r="H496" s="64"/>
      <c r="I496" s="13"/>
      <c r="J496" s="64"/>
      <c r="K496" s="63"/>
      <c r="L496" s="63"/>
      <c r="M496" s="64"/>
      <c r="N496" s="13"/>
      <c r="Q496" s="26" t="s">
        <v>422</v>
      </c>
      <c r="R496" s="26"/>
      <c r="S496" s="65"/>
      <c r="T496" s="65"/>
      <c r="U496" s="13"/>
    </row>
    <row r="497">
      <c r="B497" s="51"/>
      <c r="C497" s="62"/>
      <c r="D497" s="13"/>
      <c r="E497" s="64"/>
      <c r="F497" s="64"/>
      <c r="G497" s="64"/>
      <c r="H497" s="64"/>
      <c r="I497" s="13"/>
      <c r="J497" s="64"/>
      <c r="K497" s="63"/>
      <c r="L497" s="63"/>
      <c r="M497" s="64"/>
      <c r="N497" s="13"/>
      <c r="Q497" s="26" t="s">
        <v>422</v>
      </c>
      <c r="R497" s="26"/>
      <c r="S497" s="65"/>
      <c r="T497" s="65"/>
      <c r="U497" s="13"/>
    </row>
    <row r="498">
      <c r="B498" s="51"/>
      <c r="C498" s="62"/>
      <c r="D498" s="13"/>
      <c r="E498" s="64"/>
      <c r="F498" s="64"/>
      <c r="G498" s="64"/>
      <c r="H498" s="64"/>
      <c r="I498" s="13"/>
      <c r="J498" s="64"/>
      <c r="K498" s="63"/>
      <c r="L498" s="63"/>
      <c r="M498" s="64"/>
      <c r="N498" s="13"/>
      <c r="Q498" s="26" t="s">
        <v>422</v>
      </c>
      <c r="R498" s="26"/>
      <c r="S498" s="65"/>
      <c r="T498" s="65"/>
      <c r="U498" s="13"/>
    </row>
    <row r="499">
      <c r="B499" s="51"/>
      <c r="C499" s="62"/>
      <c r="D499" s="13"/>
      <c r="E499" s="64"/>
      <c r="F499" s="64"/>
      <c r="G499" s="64"/>
      <c r="H499" s="64"/>
      <c r="I499" s="13"/>
      <c r="J499" s="64"/>
      <c r="K499" s="63"/>
      <c r="L499" s="63"/>
      <c r="M499" s="64"/>
      <c r="N499" s="13"/>
      <c r="Q499" s="26" t="s">
        <v>422</v>
      </c>
      <c r="R499" s="26"/>
      <c r="S499" s="65"/>
      <c r="T499" s="65"/>
      <c r="U499" s="13"/>
    </row>
    <row r="500">
      <c r="B500" s="51"/>
      <c r="C500" s="62"/>
      <c r="D500" s="13"/>
      <c r="E500" s="64"/>
      <c r="F500" s="64"/>
      <c r="G500" s="64"/>
      <c r="H500" s="64"/>
      <c r="I500" s="13"/>
      <c r="J500" s="64"/>
      <c r="K500" s="63"/>
      <c r="L500" s="63"/>
      <c r="M500" s="64"/>
      <c r="N500" s="13"/>
      <c r="Q500" s="26" t="s">
        <v>422</v>
      </c>
      <c r="R500" s="26"/>
      <c r="S500" s="65"/>
      <c r="T500" s="65"/>
      <c r="U500" s="13"/>
    </row>
    <row r="501">
      <c r="B501" s="51"/>
      <c r="C501" s="62"/>
      <c r="D501" s="13"/>
      <c r="E501" s="64"/>
      <c r="F501" s="64"/>
      <c r="G501" s="64"/>
      <c r="H501" s="64"/>
      <c r="I501" s="13"/>
      <c r="J501" s="64"/>
      <c r="K501" s="63"/>
      <c r="L501" s="63"/>
      <c r="M501" s="64"/>
      <c r="N501" s="13"/>
      <c r="Q501" s="26" t="s">
        <v>422</v>
      </c>
      <c r="R501" s="26"/>
      <c r="S501" s="65"/>
      <c r="T501" s="65"/>
      <c r="U501" s="13"/>
    </row>
    <row r="502">
      <c r="B502" s="51"/>
      <c r="C502" s="62"/>
      <c r="D502" s="13"/>
      <c r="E502" s="64"/>
      <c r="F502" s="64"/>
      <c r="G502" s="64"/>
      <c r="H502" s="64"/>
      <c r="I502" s="13"/>
      <c r="J502" s="64"/>
      <c r="K502" s="63"/>
      <c r="L502" s="63"/>
      <c r="M502" s="64"/>
      <c r="N502" s="13"/>
      <c r="Q502" s="26" t="s">
        <v>422</v>
      </c>
      <c r="R502" s="26"/>
      <c r="S502" s="65"/>
      <c r="T502" s="65"/>
      <c r="U502" s="13"/>
    </row>
    <row r="503">
      <c r="B503" s="51"/>
      <c r="C503" s="62"/>
      <c r="D503" s="13"/>
      <c r="E503" s="64"/>
      <c r="F503" s="64"/>
      <c r="G503" s="64"/>
      <c r="H503" s="64"/>
      <c r="I503" s="13"/>
      <c r="J503" s="64"/>
      <c r="K503" s="63"/>
      <c r="L503" s="63"/>
      <c r="M503" s="64"/>
      <c r="N503" s="13"/>
      <c r="Q503" s="26" t="s">
        <v>422</v>
      </c>
      <c r="R503" s="26"/>
      <c r="S503" s="65"/>
      <c r="T503" s="65"/>
      <c r="U503" s="13"/>
    </row>
    <row r="504">
      <c r="B504" s="51"/>
      <c r="C504" s="62"/>
      <c r="D504" s="13"/>
      <c r="E504" s="64"/>
      <c r="F504" s="64"/>
      <c r="G504" s="64"/>
      <c r="H504" s="64"/>
      <c r="I504" s="13"/>
      <c r="J504" s="64"/>
      <c r="K504" s="63"/>
      <c r="L504" s="63"/>
      <c r="M504" s="64"/>
      <c r="N504" s="13"/>
      <c r="Q504" s="26" t="s">
        <v>422</v>
      </c>
      <c r="R504" s="26"/>
      <c r="S504" s="65"/>
      <c r="T504" s="65"/>
      <c r="U504" s="13"/>
    </row>
    <row r="505">
      <c r="B505" s="51"/>
      <c r="C505" s="62"/>
      <c r="D505" s="13"/>
      <c r="E505" s="64"/>
      <c r="F505" s="64"/>
      <c r="G505" s="64"/>
      <c r="H505" s="64"/>
      <c r="I505" s="13"/>
      <c r="J505" s="64"/>
      <c r="K505" s="63"/>
      <c r="L505" s="63"/>
      <c r="M505" s="64"/>
      <c r="N505" s="13"/>
      <c r="Q505" s="26" t="s">
        <v>422</v>
      </c>
      <c r="R505" s="26"/>
      <c r="S505" s="65"/>
      <c r="T505" s="65"/>
      <c r="U505" s="13"/>
    </row>
    <row r="506">
      <c r="B506" s="51"/>
      <c r="C506" s="62"/>
      <c r="D506" s="13"/>
      <c r="E506" s="64"/>
      <c r="F506" s="64"/>
      <c r="G506" s="64"/>
      <c r="H506" s="64"/>
      <c r="I506" s="13"/>
      <c r="J506" s="64"/>
      <c r="K506" s="63"/>
      <c r="L506" s="63"/>
      <c r="M506" s="64"/>
      <c r="N506" s="13"/>
      <c r="Q506" s="26" t="s">
        <v>422</v>
      </c>
      <c r="R506" s="26"/>
      <c r="S506" s="65"/>
      <c r="T506" s="65"/>
      <c r="U506" s="13"/>
    </row>
    <row r="507">
      <c r="B507" s="51"/>
      <c r="C507" s="62"/>
      <c r="D507" s="13"/>
      <c r="E507" s="64"/>
      <c r="F507" s="64"/>
      <c r="G507" s="64"/>
      <c r="H507" s="64"/>
      <c r="I507" s="13"/>
      <c r="J507" s="64"/>
      <c r="K507" s="63"/>
      <c r="L507" s="63"/>
      <c r="M507" s="64"/>
      <c r="N507" s="13"/>
      <c r="Q507" s="26" t="s">
        <v>422</v>
      </c>
      <c r="R507" s="26"/>
      <c r="S507" s="65"/>
      <c r="T507" s="65"/>
      <c r="U507" s="13"/>
    </row>
    <row r="508">
      <c r="B508" s="51"/>
      <c r="C508" s="62"/>
      <c r="D508" s="13"/>
      <c r="E508" s="64"/>
      <c r="F508" s="64"/>
      <c r="G508" s="64"/>
      <c r="H508" s="64"/>
      <c r="I508" s="13"/>
      <c r="J508" s="64"/>
      <c r="K508" s="63"/>
      <c r="L508" s="63"/>
      <c r="M508" s="64"/>
      <c r="N508" s="13"/>
      <c r="Q508" s="26" t="s">
        <v>422</v>
      </c>
      <c r="R508" s="26"/>
      <c r="S508" s="65"/>
      <c r="T508" s="65"/>
      <c r="U508" s="13"/>
    </row>
    <row r="509">
      <c r="B509" s="51"/>
      <c r="C509" s="62"/>
      <c r="D509" s="13"/>
      <c r="E509" s="64"/>
      <c r="F509" s="64"/>
      <c r="G509" s="64"/>
      <c r="H509" s="64"/>
      <c r="I509" s="13"/>
      <c r="J509" s="64"/>
      <c r="K509" s="63"/>
      <c r="L509" s="63"/>
      <c r="M509" s="64"/>
      <c r="N509" s="13"/>
      <c r="Q509" s="26" t="s">
        <v>422</v>
      </c>
      <c r="R509" s="26"/>
      <c r="S509" s="65"/>
      <c r="T509" s="65"/>
      <c r="U509" s="13"/>
    </row>
    <row r="510">
      <c r="B510" s="51"/>
      <c r="C510" s="62"/>
      <c r="D510" s="13"/>
      <c r="E510" s="64"/>
      <c r="F510" s="64"/>
      <c r="G510" s="64"/>
      <c r="H510" s="64"/>
      <c r="I510" s="13"/>
      <c r="J510" s="64"/>
      <c r="K510" s="63"/>
      <c r="L510" s="63"/>
      <c r="M510" s="64"/>
      <c r="N510" s="13"/>
      <c r="Q510" s="26" t="s">
        <v>422</v>
      </c>
      <c r="R510" s="26"/>
      <c r="S510" s="65"/>
      <c r="T510" s="65"/>
      <c r="U510" s="13"/>
    </row>
    <row r="511">
      <c r="B511" s="51"/>
      <c r="C511" s="62"/>
      <c r="D511" s="13"/>
      <c r="E511" s="64"/>
      <c r="F511" s="64"/>
      <c r="G511" s="64"/>
      <c r="H511" s="64"/>
      <c r="I511" s="13"/>
      <c r="J511" s="64"/>
      <c r="K511" s="63"/>
      <c r="L511" s="63"/>
      <c r="M511" s="64"/>
      <c r="N511" s="13"/>
      <c r="Q511" s="26" t="s">
        <v>422</v>
      </c>
      <c r="R511" s="26"/>
      <c r="S511" s="65"/>
      <c r="T511" s="65"/>
      <c r="U511" s="13"/>
    </row>
    <row r="512">
      <c r="B512" s="51"/>
      <c r="C512" s="62"/>
      <c r="D512" s="13"/>
      <c r="E512" s="64"/>
      <c r="F512" s="64"/>
      <c r="G512" s="64"/>
      <c r="H512" s="64"/>
      <c r="I512" s="13"/>
      <c r="J512" s="64"/>
      <c r="K512" s="63"/>
      <c r="L512" s="63"/>
      <c r="M512" s="64"/>
      <c r="N512" s="13"/>
      <c r="Q512" s="26" t="s">
        <v>422</v>
      </c>
      <c r="R512" s="26"/>
      <c r="S512" s="65"/>
      <c r="T512" s="65"/>
      <c r="U512" s="13"/>
    </row>
    <row r="513">
      <c r="B513" s="51"/>
      <c r="C513" s="62"/>
      <c r="D513" s="13"/>
      <c r="E513" s="64"/>
      <c r="F513" s="64"/>
      <c r="G513" s="64"/>
      <c r="H513" s="64"/>
      <c r="I513" s="13"/>
      <c r="J513" s="64"/>
      <c r="K513" s="63"/>
      <c r="L513" s="63"/>
      <c r="M513" s="64"/>
      <c r="N513" s="13"/>
      <c r="Q513" s="26" t="s">
        <v>422</v>
      </c>
      <c r="R513" s="26"/>
      <c r="S513" s="65"/>
      <c r="T513" s="65"/>
      <c r="U513" s="13"/>
    </row>
    <row r="514">
      <c r="B514" s="51"/>
      <c r="C514" s="62"/>
      <c r="D514" s="13"/>
      <c r="E514" s="64"/>
      <c r="F514" s="64"/>
      <c r="G514" s="64"/>
      <c r="H514" s="64"/>
      <c r="I514" s="13"/>
      <c r="J514" s="64"/>
      <c r="K514" s="63"/>
      <c r="L514" s="63"/>
      <c r="M514" s="64"/>
      <c r="N514" s="13"/>
      <c r="Q514" s="26" t="s">
        <v>422</v>
      </c>
      <c r="R514" s="26"/>
      <c r="S514" s="65"/>
      <c r="T514" s="65"/>
      <c r="U514" s="13"/>
    </row>
    <row r="515">
      <c r="B515" s="51"/>
      <c r="C515" s="62"/>
      <c r="D515" s="13"/>
      <c r="E515" s="64"/>
      <c r="F515" s="64"/>
      <c r="G515" s="64"/>
      <c r="H515" s="64"/>
      <c r="I515" s="13"/>
      <c r="J515" s="64"/>
      <c r="K515" s="63"/>
      <c r="L515" s="63"/>
      <c r="M515" s="64"/>
      <c r="N515" s="13"/>
      <c r="Q515" s="26" t="s">
        <v>422</v>
      </c>
      <c r="R515" s="26"/>
      <c r="S515" s="65"/>
      <c r="T515" s="65"/>
      <c r="U515" s="13"/>
    </row>
    <row r="516">
      <c r="B516" s="51"/>
      <c r="C516" s="62"/>
      <c r="D516" s="13"/>
      <c r="E516" s="64"/>
      <c r="F516" s="64"/>
      <c r="G516" s="64"/>
      <c r="H516" s="64"/>
      <c r="I516" s="13"/>
      <c r="J516" s="64"/>
      <c r="K516" s="63"/>
      <c r="L516" s="63"/>
      <c r="M516" s="64"/>
      <c r="N516" s="13"/>
      <c r="Q516" s="26" t="s">
        <v>422</v>
      </c>
      <c r="R516" s="26"/>
      <c r="S516" s="65"/>
      <c r="T516" s="65"/>
      <c r="U516" s="13"/>
    </row>
    <row r="517">
      <c r="B517" s="51"/>
      <c r="C517" s="62"/>
      <c r="D517" s="13"/>
      <c r="E517" s="64"/>
      <c r="F517" s="64"/>
      <c r="G517" s="64"/>
      <c r="H517" s="64"/>
      <c r="I517" s="13"/>
      <c r="J517" s="64"/>
      <c r="K517" s="63"/>
      <c r="L517" s="63"/>
      <c r="M517" s="64"/>
      <c r="N517" s="13"/>
      <c r="Q517" s="26" t="s">
        <v>422</v>
      </c>
      <c r="R517" s="26"/>
      <c r="S517" s="65"/>
      <c r="T517" s="65"/>
      <c r="U517" s="13"/>
    </row>
    <row r="518">
      <c r="B518" s="51"/>
      <c r="C518" s="62"/>
      <c r="D518" s="13"/>
      <c r="E518" s="64"/>
      <c r="F518" s="64"/>
      <c r="G518" s="64"/>
      <c r="H518" s="64"/>
      <c r="I518" s="13"/>
      <c r="J518" s="64"/>
      <c r="K518" s="63"/>
      <c r="L518" s="63"/>
      <c r="M518" s="64"/>
      <c r="N518" s="13"/>
      <c r="Q518" s="26" t="s">
        <v>422</v>
      </c>
      <c r="R518" s="26"/>
      <c r="S518" s="65"/>
      <c r="T518" s="65"/>
      <c r="U518" s="13"/>
    </row>
    <row r="519">
      <c r="B519" s="51"/>
      <c r="C519" s="62"/>
      <c r="D519" s="13"/>
      <c r="E519" s="64"/>
      <c r="F519" s="64"/>
      <c r="G519" s="64"/>
      <c r="H519" s="64"/>
      <c r="I519" s="13"/>
      <c r="J519" s="64"/>
      <c r="K519" s="63"/>
      <c r="L519" s="63"/>
      <c r="M519" s="64"/>
      <c r="N519" s="13"/>
      <c r="Q519" s="26" t="s">
        <v>422</v>
      </c>
      <c r="R519" s="26"/>
      <c r="S519" s="65"/>
      <c r="T519" s="65"/>
      <c r="U519" s="13"/>
    </row>
    <row r="520">
      <c r="B520" s="51"/>
      <c r="C520" s="62"/>
      <c r="D520" s="13"/>
      <c r="E520" s="64"/>
      <c r="F520" s="64"/>
      <c r="G520" s="64"/>
      <c r="H520" s="64"/>
      <c r="I520" s="13"/>
      <c r="J520" s="64"/>
      <c r="K520" s="63"/>
      <c r="L520" s="63"/>
      <c r="M520" s="64"/>
      <c r="N520" s="13"/>
      <c r="Q520" s="26" t="s">
        <v>422</v>
      </c>
      <c r="R520" s="26"/>
      <c r="S520" s="65"/>
      <c r="T520" s="65"/>
      <c r="U520" s="13"/>
    </row>
    <row r="521">
      <c r="B521" s="51"/>
      <c r="C521" s="62"/>
      <c r="D521" s="13"/>
      <c r="E521" s="64"/>
      <c r="F521" s="64"/>
      <c r="G521" s="64"/>
      <c r="H521" s="64"/>
      <c r="I521" s="13"/>
      <c r="J521" s="64"/>
      <c r="K521" s="63"/>
      <c r="L521" s="63"/>
      <c r="M521" s="64"/>
      <c r="N521" s="13"/>
      <c r="Q521" s="26" t="s">
        <v>422</v>
      </c>
      <c r="R521" s="26"/>
      <c r="S521" s="65"/>
      <c r="T521" s="65"/>
      <c r="U521" s="13"/>
    </row>
    <row r="522">
      <c r="B522" s="51"/>
      <c r="C522" s="62"/>
      <c r="D522" s="13"/>
      <c r="E522" s="64"/>
      <c r="F522" s="64"/>
      <c r="G522" s="64"/>
      <c r="H522" s="64"/>
      <c r="I522" s="13"/>
      <c r="J522" s="64"/>
      <c r="K522" s="63"/>
      <c r="L522" s="63"/>
      <c r="M522" s="64"/>
      <c r="N522" s="13"/>
      <c r="Q522" s="26" t="s">
        <v>422</v>
      </c>
      <c r="R522" s="26"/>
      <c r="S522" s="65"/>
      <c r="T522" s="65"/>
      <c r="U522" s="13"/>
    </row>
    <row r="523">
      <c r="B523" s="51"/>
      <c r="C523" s="62"/>
      <c r="D523" s="13"/>
      <c r="E523" s="64"/>
      <c r="F523" s="64"/>
      <c r="G523" s="64"/>
      <c r="H523" s="64"/>
      <c r="I523" s="13"/>
      <c r="J523" s="64"/>
      <c r="K523" s="63"/>
      <c r="L523" s="63"/>
      <c r="M523" s="64"/>
      <c r="N523" s="13"/>
      <c r="Q523" s="26" t="s">
        <v>422</v>
      </c>
      <c r="R523" s="26"/>
      <c r="S523" s="65"/>
      <c r="T523" s="65"/>
      <c r="U523" s="13"/>
    </row>
    <row r="524">
      <c r="B524" s="51"/>
      <c r="C524" s="62"/>
      <c r="D524" s="13"/>
      <c r="E524" s="64"/>
      <c r="F524" s="64"/>
      <c r="G524" s="64"/>
      <c r="H524" s="64"/>
      <c r="I524" s="13"/>
      <c r="J524" s="64"/>
      <c r="K524" s="63"/>
      <c r="L524" s="63"/>
      <c r="M524" s="64"/>
      <c r="N524" s="13"/>
      <c r="Q524" s="26" t="s">
        <v>422</v>
      </c>
      <c r="R524" s="26"/>
      <c r="S524" s="65"/>
      <c r="T524" s="65"/>
      <c r="U524" s="13"/>
    </row>
    <row r="525">
      <c r="B525" s="51"/>
      <c r="C525" s="62"/>
      <c r="D525" s="13"/>
      <c r="E525" s="64"/>
      <c r="F525" s="64"/>
      <c r="G525" s="64"/>
      <c r="H525" s="64"/>
      <c r="I525" s="13"/>
      <c r="J525" s="64"/>
      <c r="K525" s="63"/>
      <c r="L525" s="63"/>
      <c r="M525" s="64"/>
      <c r="N525" s="13"/>
      <c r="Q525" s="26" t="s">
        <v>422</v>
      </c>
      <c r="R525" s="26"/>
      <c r="S525" s="65"/>
      <c r="T525" s="65"/>
      <c r="U525" s="13"/>
    </row>
    <row r="526">
      <c r="B526" s="51"/>
      <c r="C526" s="62"/>
      <c r="D526" s="13"/>
      <c r="E526" s="64"/>
      <c r="F526" s="64"/>
      <c r="G526" s="64"/>
      <c r="H526" s="64"/>
      <c r="I526" s="13"/>
      <c r="J526" s="64"/>
      <c r="K526" s="63"/>
      <c r="L526" s="63"/>
      <c r="M526" s="64"/>
      <c r="N526" s="13"/>
      <c r="Q526" s="26" t="s">
        <v>422</v>
      </c>
      <c r="R526" s="26"/>
      <c r="S526" s="65"/>
      <c r="T526" s="65"/>
      <c r="U526" s="13"/>
    </row>
    <row r="527">
      <c r="B527" s="51"/>
      <c r="C527" s="62"/>
      <c r="D527" s="13"/>
      <c r="E527" s="64"/>
      <c r="F527" s="64"/>
      <c r="G527" s="64"/>
      <c r="H527" s="64"/>
      <c r="I527" s="13"/>
      <c r="J527" s="64"/>
      <c r="K527" s="63"/>
      <c r="L527" s="63"/>
      <c r="M527" s="64"/>
      <c r="N527" s="13"/>
      <c r="Q527" s="26" t="s">
        <v>422</v>
      </c>
      <c r="R527" s="26"/>
      <c r="S527" s="65"/>
      <c r="T527" s="65"/>
      <c r="U527" s="13"/>
    </row>
    <row r="528">
      <c r="B528" s="51"/>
      <c r="C528" s="62"/>
      <c r="D528" s="13"/>
      <c r="E528" s="64"/>
      <c r="F528" s="64"/>
      <c r="G528" s="64"/>
      <c r="H528" s="64"/>
      <c r="I528" s="13"/>
      <c r="J528" s="64"/>
      <c r="K528" s="63"/>
      <c r="L528" s="63"/>
      <c r="M528" s="64"/>
      <c r="N528" s="13"/>
      <c r="Q528" s="26" t="s">
        <v>422</v>
      </c>
      <c r="R528" s="26"/>
      <c r="S528" s="65"/>
      <c r="T528" s="65"/>
      <c r="U528" s="13"/>
    </row>
    <row r="529">
      <c r="B529" s="51"/>
      <c r="C529" s="62"/>
      <c r="D529" s="13"/>
      <c r="E529" s="64"/>
      <c r="F529" s="64"/>
      <c r="G529" s="64"/>
      <c r="H529" s="64"/>
      <c r="I529" s="13"/>
      <c r="J529" s="64"/>
      <c r="K529" s="63"/>
      <c r="L529" s="63"/>
      <c r="M529" s="64"/>
      <c r="N529" s="13"/>
      <c r="Q529" s="26" t="s">
        <v>422</v>
      </c>
      <c r="R529" s="26"/>
      <c r="S529" s="65"/>
      <c r="T529" s="65"/>
      <c r="U529" s="13"/>
    </row>
    <row r="530">
      <c r="B530" s="51"/>
      <c r="C530" s="62"/>
      <c r="D530" s="13"/>
      <c r="E530" s="64"/>
      <c r="F530" s="64"/>
      <c r="G530" s="64"/>
      <c r="H530" s="64"/>
      <c r="I530" s="13"/>
      <c r="J530" s="64"/>
      <c r="K530" s="63"/>
      <c r="L530" s="63"/>
      <c r="M530" s="64"/>
      <c r="N530" s="13"/>
      <c r="Q530" s="26" t="s">
        <v>422</v>
      </c>
      <c r="R530" s="26"/>
      <c r="S530" s="65"/>
      <c r="T530" s="65"/>
      <c r="U530" s="13"/>
    </row>
    <row r="531">
      <c r="B531" s="51"/>
      <c r="C531" s="62"/>
      <c r="D531" s="13"/>
      <c r="E531" s="64"/>
      <c r="F531" s="64"/>
      <c r="G531" s="64"/>
      <c r="H531" s="64"/>
      <c r="I531" s="13"/>
      <c r="J531" s="64"/>
      <c r="K531" s="63"/>
      <c r="L531" s="63"/>
      <c r="M531" s="64"/>
      <c r="N531" s="13"/>
      <c r="Q531" s="26" t="s">
        <v>422</v>
      </c>
      <c r="R531" s="26"/>
      <c r="S531" s="65"/>
      <c r="T531" s="65"/>
      <c r="U531" s="13"/>
    </row>
    <row r="532">
      <c r="B532" s="51"/>
      <c r="C532" s="62"/>
      <c r="D532" s="13"/>
      <c r="E532" s="64"/>
      <c r="F532" s="64"/>
      <c r="G532" s="64"/>
      <c r="H532" s="64"/>
      <c r="I532" s="13"/>
      <c r="J532" s="64"/>
      <c r="K532" s="63"/>
      <c r="L532" s="63"/>
      <c r="M532" s="64"/>
      <c r="N532" s="13"/>
      <c r="Q532" s="26" t="s">
        <v>422</v>
      </c>
      <c r="R532" s="26"/>
      <c r="S532" s="65"/>
      <c r="T532" s="65"/>
      <c r="U532" s="13"/>
    </row>
    <row r="533">
      <c r="B533" s="51"/>
      <c r="C533" s="62"/>
      <c r="D533" s="13"/>
      <c r="E533" s="64"/>
      <c r="F533" s="64"/>
      <c r="G533" s="64"/>
      <c r="H533" s="64"/>
      <c r="I533" s="13"/>
      <c r="J533" s="64"/>
      <c r="K533" s="63"/>
      <c r="L533" s="63"/>
      <c r="M533" s="64"/>
      <c r="N533" s="13"/>
      <c r="Q533" s="26" t="s">
        <v>422</v>
      </c>
      <c r="R533" s="26"/>
      <c r="S533" s="65"/>
      <c r="T533" s="65"/>
      <c r="U533" s="13"/>
    </row>
    <row r="534">
      <c r="B534" s="51"/>
      <c r="C534" s="62"/>
      <c r="D534" s="13"/>
      <c r="E534" s="64"/>
      <c r="F534" s="64"/>
      <c r="G534" s="64"/>
      <c r="H534" s="64"/>
      <c r="I534" s="13"/>
      <c r="J534" s="64"/>
      <c r="K534" s="63"/>
      <c r="L534" s="63"/>
      <c r="M534" s="64"/>
      <c r="N534" s="13"/>
      <c r="Q534" s="26" t="s">
        <v>422</v>
      </c>
      <c r="R534" s="26"/>
      <c r="S534" s="65"/>
      <c r="T534" s="65"/>
      <c r="U534" s="13"/>
    </row>
    <row r="535">
      <c r="B535" s="51"/>
      <c r="C535" s="62"/>
      <c r="D535" s="13"/>
      <c r="E535" s="64"/>
      <c r="F535" s="64"/>
      <c r="G535" s="64"/>
      <c r="H535" s="64"/>
      <c r="I535" s="13"/>
      <c r="J535" s="64"/>
      <c r="K535" s="63"/>
      <c r="L535" s="63"/>
      <c r="M535" s="64"/>
      <c r="N535" s="13"/>
      <c r="Q535" s="26" t="s">
        <v>422</v>
      </c>
      <c r="R535" s="26"/>
      <c r="S535" s="65"/>
      <c r="T535" s="65"/>
      <c r="U535" s="13"/>
    </row>
    <row r="536">
      <c r="B536" s="51"/>
      <c r="C536" s="62"/>
      <c r="D536" s="13"/>
      <c r="E536" s="64"/>
      <c r="F536" s="64"/>
      <c r="G536" s="64"/>
      <c r="H536" s="64"/>
      <c r="I536" s="13"/>
      <c r="J536" s="64"/>
      <c r="K536" s="63"/>
      <c r="L536" s="63"/>
      <c r="M536" s="64"/>
      <c r="N536" s="13"/>
      <c r="Q536" s="26" t="s">
        <v>422</v>
      </c>
      <c r="R536" s="26"/>
      <c r="S536" s="65"/>
      <c r="T536" s="65"/>
      <c r="U536" s="13"/>
    </row>
    <row r="537">
      <c r="B537" s="51"/>
      <c r="C537" s="62"/>
      <c r="D537" s="13"/>
      <c r="E537" s="64"/>
      <c r="F537" s="64"/>
      <c r="G537" s="64"/>
      <c r="H537" s="64"/>
      <c r="I537" s="13"/>
      <c r="J537" s="64"/>
      <c r="K537" s="63"/>
      <c r="L537" s="63"/>
      <c r="M537" s="64"/>
      <c r="N537" s="13"/>
      <c r="Q537" s="26" t="s">
        <v>422</v>
      </c>
      <c r="R537" s="26"/>
      <c r="S537" s="65"/>
      <c r="T537" s="65"/>
      <c r="U537" s="13"/>
    </row>
    <row r="538">
      <c r="B538" s="51"/>
      <c r="C538" s="62"/>
      <c r="D538" s="13"/>
      <c r="E538" s="64"/>
      <c r="F538" s="64"/>
      <c r="G538" s="64"/>
      <c r="H538" s="64"/>
      <c r="I538" s="13"/>
      <c r="J538" s="64"/>
      <c r="K538" s="63"/>
      <c r="L538" s="63"/>
      <c r="M538" s="64"/>
      <c r="N538" s="13"/>
      <c r="Q538" s="26" t="s">
        <v>422</v>
      </c>
      <c r="R538" s="26"/>
      <c r="S538" s="65"/>
      <c r="T538" s="65"/>
      <c r="U538" s="13"/>
    </row>
    <row r="539">
      <c r="B539" s="51"/>
      <c r="C539" s="62"/>
      <c r="D539" s="13"/>
      <c r="E539" s="64"/>
      <c r="F539" s="64"/>
      <c r="G539" s="64"/>
      <c r="H539" s="64"/>
      <c r="I539" s="13"/>
      <c r="J539" s="64"/>
      <c r="K539" s="63"/>
      <c r="L539" s="63"/>
      <c r="M539" s="64"/>
      <c r="N539" s="13"/>
      <c r="Q539" s="26" t="s">
        <v>422</v>
      </c>
      <c r="R539" s="26"/>
      <c r="S539" s="65"/>
      <c r="T539" s="65"/>
      <c r="U539" s="13"/>
    </row>
    <row r="540">
      <c r="B540" s="51"/>
      <c r="C540" s="62"/>
      <c r="D540" s="13"/>
      <c r="E540" s="64"/>
      <c r="F540" s="64"/>
      <c r="G540" s="64"/>
      <c r="H540" s="64"/>
      <c r="I540" s="13"/>
      <c r="J540" s="64"/>
      <c r="K540" s="63"/>
      <c r="L540" s="63"/>
      <c r="M540" s="64"/>
      <c r="N540" s="13"/>
      <c r="Q540" s="26" t="s">
        <v>422</v>
      </c>
      <c r="R540" s="26"/>
      <c r="S540" s="65"/>
      <c r="T540" s="65"/>
      <c r="U540" s="13"/>
    </row>
    <row r="541">
      <c r="B541" s="51"/>
      <c r="C541" s="62"/>
      <c r="D541" s="13"/>
      <c r="E541" s="64"/>
      <c r="F541" s="64"/>
      <c r="G541" s="64"/>
      <c r="H541" s="64"/>
      <c r="I541" s="13"/>
      <c r="J541" s="64"/>
      <c r="K541" s="63"/>
      <c r="L541" s="63"/>
      <c r="M541" s="64"/>
      <c r="N541" s="13"/>
      <c r="Q541" s="26" t="s">
        <v>422</v>
      </c>
      <c r="R541" s="26"/>
      <c r="S541" s="65"/>
      <c r="T541" s="65"/>
      <c r="U541" s="13"/>
    </row>
    <row r="542">
      <c r="B542" s="51"/>
      <c r="C542" s="62"/>
      <c r="D542" s="13"/>
      <c r="E542" s="64"/>
      <c r="F542" s="64"/>
      <c r="G542" s="64"/>
      <c r="H542" s="64"/>
      <c r="I542" s="13"/>
      <c r="J542" s="64"/>
      <c r="K542" s="63"/>
      <c r="L542" s="63"/>
      <c r="M542" s="64"/>
      <c r="N542" s="13"/>
      <c r="Q542" s="26" t="s">
        <v>422</v>
      </c>
      <c r="R542" s="26"/>
      <c r="S542" s="65"/>
      <c r="T542" s="65"/>
      <c r="U542" s="13"/>
    </row>
    <row r="543">
      <c r="B543" s="51"/>
      <c r="C543" s="62"/>
      <c r="D543" s="13"/>
      <c r="E543" s="64"/>
      <c r="F543" s="64"/>
      <c r="G543" s="64"/>
      <c r="H543" s="64"/>
      <c r="I543" s="13"/>
      <c r="J543" s="64"/>
      <c r="K543" s="63"/>
      <c r="L543" s="63"/>
      <c r="M543" s="64"/>
      <c r="N543" s="13"/>
      <c r="Q543" s="26" t="s">
        <v>422</v>
      </c>
      <c r="R543" s="26"/>
      <c r="S543" s="65"/>
      <c r="T543" s="65"/>
      <c r="U543" s="13"/>
    </row>
    <row r="544">
      <c r="B544" s="51"/>
      <c r="C544" s="62"/>
      <c r="D544" s="13"/>
      <c r="E544" s="64"/>
      <c r="F544" s="64"/>
      <c r="G544" s="64"/>
      <c r="H544" s="64"/>
      <c r="I544" s="13"/>
      <c r="J544" s="64"/>
      <c r="K544" s="63"/>
      <c r="L544" s="63"/>
      <c r="M544" s="64"/>
      <c r="N544" s="13"/>
      <c r="Q544" s="26" t="s">
        <v>422</v>
      </c>
      <c r="R544" s="26"/>
      <c r="S544" s="65"/>
      <c r="T544" s="65"/>
      <c r="U544" s="13"/>
    </row>
    <row r="545">
      <c r="B545" s="51"/>
      <c r="C545" s="62"/>
      <c r="D545" s="13"/>
      <c r="E545" s="64"/>
      <c r="F545" s="64"/>
      <c r="G545" s="64"/>
      <c r="H545" s="64"/>
      <c r="I545" s="13"/>
      <c r="J545" s="64"/>
      <c r="K545" s="63"/>
      <c r="L545" s="63"/>
      <c r="M545" s="64"/>
      <c r="N545" s="13"/>
      <c r="Q545" s="26" t="s">
        <v>422</v>
      </c>
      <c r="R545" s="26"/>
      <c r="S545" s="65"/>
      <c r="T545" s="65"/>
      <c r="U545" s="13"/>
    </row>
    <row r="546">
      <c r="B546" s="51"/>
      <c r="C546" s="62"/>
      <c r="D546" s="13"/>
      <c r="E546" s="64"/>
      <c r="F546" s="64"/>
      <c r="G546" s="64"/>
      <c r="H546" s="64"/>
      <c r="I546" s="13"/>
      <c r="J546" s="64"/>
      <c r="K546" s="63"/>
      <c r="L546" s="63"/>
      <c r="M546" s="64"/>
      <c r="N546" s="13"/>
      <c r="Q546" s="26" t="s">
        <v>422</v>
      </c>
      <c r="R546" s="26"/>
      <c r="S546" s="65"/>
      <c r="T546" s="65"/>
      <c r="U546" s="13"/>
    </row>
    <row r="547">
      <c r="B547" s="51"/>
      <c r="C547" s="62"/>
      <c r="D547" s="13"/>
      <c r="E547" s="64"/>
      <c r="F547" s="64"/>
      <c r="G547" s="64"/>
      <c r="H547" s="64"/>
      <c r="I547" s="13"/>
      <c r="J547" s="64"/>
      <c r="K547" s="63"/>
      <c r="L547" s="63"/>
      <c r="M547" s="64"/>
      <c r="N547" s="13"/>
      <c r="Q547" s="26" t="s">
        <v>422</v>
      </c>
      <c r="R547" s="26"/>
      <c r="S547" s="65"/>
      <c r="T547" s="65"/>
      <c r="U547" s="13"/>
    </row>
    <row r="548">
      <c r="B548" s="51"/>
      <c r="C548" s="62"/>
      <c r="D548" s="13"/>
      <c r="E548" s="64"/>
      <c r="F548" s="64"/>
      <c r="G548" s="64"/>
      <c r="H548" s="64"/>
      <c r="I548" s="13"/>
      <c r="J548" s="64"/>
      <c r="K548" s="63"/>
      <c r="L548" s="63"/>
      <c r="M548" s="64"/>
      <c r="N548" s="13"/>
      <c r="Q548" s="26" t="s">
        <v>422</v>
      </c>
      <c r="R548" s="26"/>
      <c r="S548" s="65"/>
      <c r="T548" s="65"/>
      <c r="U548" s="13"/>
    </row>
    <row r="549">
      <c r="B549" s="51"/>
      <c r="C549" s="62"/>
      <c r="D549" s="13"/>
      <c r="E549" s="64"/>
      <c r="F549" s="64"/>
      <c r="G549" s="64"/>
      <c r="H549" s="64"/>
      <c r="I549" s="13"/>
      <c r="J549" s="64"/>
      <c r="K549" s="63"/>
      <c r="L549" s="63"/>
      <c r="M549" s="64"/>
      <c r="N549" s="13"/>
      <c r="Q549" s="26" t="s">
        <v>422</v>
      </c>
      <c r="R549" s="26"/>
      <c r="S549" s="65"/>
      <c r="T549" s="65"/>
      <c r="U549" s="13"/>
    </row>
    <row r="550">
      <c r="B550" s="51"/>
      <c r="C550" s="62"/>
      <c r="D550" s="13"/>
      <c r="E550" s="64"/>
      <c r="F550" s="64"/>
      <c r="G550" s="64"/>
      <c r="H550" s="64"/>
      <c r="I550" s="13"/>
      <c r="J550" s="64"/>
      <c r="K550" s="63"/>
      <c r="L550" s="63"/>
      <c r="M550" s="64"/>
      <c r="N550" s="13"/>
      <c r="Q550" s="26" t="s">
        <v>422</v>
      </c>
      <c r="R550" s="26"/>
      <c r="S550" s="65"/>
      <c r="T550" s="65"/>
      <c r="U550" s="13"/>
    </row>
    <row r="551">
      <c r="B551" s="51"/>
      <c r="C551" s="62"/>
      <c r="D551" s="13"/>
      <c r="E551" s="64"/>
      <c r="F551" s="64"/>
      <c r="G551" s="64"/>
      <c r="H551" s="64"/>
      <c r="I551" s="13"/>
      <c r="J551" s="64"/>
      <c r="K551" s="63"/>
      <c r="L551" s="63"/>
      <c r="M551" s="64"/>
      <c r="N551" s="13"/>
      <c r="Q551" s="26" t="s">
        <v>422</v>
      </c>
      <c r="R551" s="26"/>
      <c r="S551" s="65"/>
      <c r="T551" s="65"/>
      <c r="U551" s="13"/>
    </row>
    <row r="552">
      <c r="B552" s="51"/>
      <c r="C552" s="62"/>
      <c r="D552" s="13"/>
      <c r="E552" s="64"/>
      <c r="F552" s="64"/>
      <c r="G552" s="64"/>
      <c r="H552" s="64"/>
      <c r="I552" s="13"/>
      <c r="J552" s="64"/>
      <c r="K552" s="63"/>
      <c r="L552" s="63"/>
      <c r="M552" s="64"/>
      <c r="N552" s="13"/>
      <c r="Q552" s="26" t="s">
        <v>422</v>
      </c>
      <c r="R552" s="26"/>
      <c r="S552" s="65"/>
      <c r="T552" s="65"/>
      <c r="U552" s="13"/>
    </row>
    <row r="553">
      <c r="B553" s="51"/>
      <c r="C553" s="62"/>
      <c r="D553" s="13"/>
      <c r="E553" s="64"/>
      <c r="F553" s="64"/>
      <c r="G553" s="64"/>
      <c r="H553" s="64"/>
      <c r="I553" s="13"/>
      <c r="J553" s="64"/>
      <c r="K553" s="63"/>
      <c r="L553" s="63"/>
      <c r="M553" s="64"/>
      <c r="N553" s="13"/>
      <c r="Q553" s="26" t="s">
        <v>422</v>
      </c>
      <c r="R553" s="26"/>
      <c r="S553" s="65"/>
      <c r="T553" s="65"/>
      <c r="U553" s="13"/>
    </row>
    <row r="554">
      <c r="B554" s="51"/>
      <c r="C554" s="62"/>
      <c r="D554" s="13"/>
      <c r="E554" s="64"/>
      <c r="F554" s="64"/>
      <c r="G554" s="64"/>
      <c r="H554" s="64"/>
      <c r="I554" s="13"/>
      <c r="J554" s="64"/>
      <c r="K554" s="63"/>
      <c r="L554" s="63"/>
      <c r="M554" s="64"/>
      <c r="N554" s="13"/>
      <c r="Q554" s="26" t="s">
        <v>422</v>
      </c>
      <c r="R554" s="26"/>
      <c r="S554" s="65"/>
      <c r="T554" s="65"/>
      <c r="U554" s="13"/>
    </row>
    <row r="555">
      <c r="B555" s="51"/>
      <c r="C555" s="62"/>
      <c r="D555" s="13"/>
      <c r="E555" s="64"/>
      <c r="F555" s="64"/>
      <c r="G555" s="64"/>
      <c r="H555" s="64"/>
      <c r="I555" s="13"/>
      <c r="J555" s="64"/>
      <c r="K555" s="63"/>
      <c r="L555" s="63"/>
      <c r="M555" s="64"/>
      <c r="N555" s="13"/>
      <c r="Q555" s="26" t="s">
        <v>422</v>
      </c>
      <c r="R555" s="26"/>
      <c r="S555" s="65"/>
      <c r="T555" s="65"/>
      <c r="U555" s="13"/>
    </row>
    <row r="556">
      <c r="B556" s="51"/>
      <c r="C556" s="62"/>
      <c r="D556" s="13"/>
      <c r="E556" s="64"/>
      <c r="F556" s="64"/>
      <c r="G556" s="64"/>
      <c r="H556" s="64"/>
      <c r="I556" s="13"/>
      <c r="J556" s="64"/>
      <c r="K556" s="63"/>
      <c r="L556" s="63"/>
      <c r="M556" s="64"/>
      <c r="N556" s="13"/>
      <c r="Q556" s="26" t="s">
        <v>422</v>
      </c>
      <c r="R556" s="26"/>
      <c r="S556" s="65"/>
      <c r="T556" s="65"/>
      <c r="U556" s="13"/>
    </row>
    <row r="557">
      <c r="B557" s="51"/>
      <c r="C557" s="62"/>
      <c r="D557" s="13"/>
      <c r="E557" s="64"/>
      <c r="F557" s="64"/>
      <c r="G557" s="64"/>
      <c r="H557" s="64"/>
      <c r="I557" s="13"/>
      <c r="J557" s="64"/>
      <c r="K557" s="63"/>
      <c r="L557" s="63"/>
      <c r="M557" s="64"/>
      <c r="N557" s="13"/>
      <c r="Q557" s="26" t="s">
        <v>422</v>
      </c>
      <c r="R557" s="26"/>
      <c r="S557" s="65"/>
      <c r="T557" s="65"/>
      <c r="U557" s="13"/>
    </row>
    <row r="558">
      <c r="B558" s="51"/>
      <c r="C558" s="62"/>
      <c r="D558" s="13"/>
      <c r="E558" s="64"/>
      <c r="F558" s="64"/>
      <c r="G558" s="64"/>
      <c r="H558" s="64"/>
      <c r="I558" s="13"/>
      <c r="J558" s="64"/>
      <c r="K558" s="63"/>
      <c r="L558" s="63"/>
      <c r="M558" s="64"/>
      <c r="N558" s="13"/>
      <c r="Q558" s="26" t="s">
        <v>422</v>
      </c>
      <c r="R558" s="26"/>
      <c r="S558" s="65"/>
      <c r="T558" s="65"/>
      <c r="U558" s="13"/>
    </row>
    <row r="559">
      <c r="B559" s="51"/>
      <c r="C559" s="62"/>
      <c r="D559" s="13"/>
      <c r="E559" s="64"/>
      <c r="F559" s="64"/>
      <c r="G559" s="64"/>
      <c r="H559" s="64"/>
      <c r="I559" s="13"/>
      <c r="J559" s="64"/>
      <c r="K559" s="63"/>
      <c r="L559" s="63"/>
      <c r="M559" s="64"/>
      <c r="N559" s="13"/>
      <c r="Q559" s="26" t="s">
        <v>422</v>
      </c>
      <c r="R559" s="26"/>
      <c r="S559" s="65"/>
      <c r="T559" s="65"/>
      <c r="U559" s="13"/>
    </row>
    <row r="560">
      <c r="B560" s="51"/>
      <c r="C560" s="62"/>
      <c r="D560" s="13"/>
      <c r="E560" s="64"/>
      <c r="F560" s="64"/>
      <c r="G560" s="64"/>
      <c r="H560" s="64"/>
      <c r="I560" s="13"/>
      <c r="J560" s="64"/>
      <c r="K560" s="63"/>
      <c r="L560" s="63"/>
      <c r="M560" s="64"/>
      <c r="N560" s="13"/>
      <c r="Q560" s="26" t="s">
        <v>422</v>
      </c>
      <c r="R560" s="26"/>
      <c r="S560" s="65"/>
      <c r="T560" s="65"/>
      <c r="U560" s="13"/>
    </row>
    <row r="561">
      <c r="B561" s="51"/>
      <c r="C561" s="62"/>
      <c r="D561" s="13"/>
      <c r="E561" s="64"/>
      <c r="F561" s="64"/>
      <c r="G561" s="64"/>
      <c r="H561" s="64"/>
      <c r="I561" s="13"/>
      <c r="J561" s="64"/>
      <c r="K561" s="63"/>
      <c r="L561" s="63"/>
      <c r="M561" s="64"/>
      <c r="N561" s="13"/>
      <c r="Q561" s="26" t="s">
        <v>422</v>
      </c>
      <c r="R561" s="26"/>
      <c r="S561" s="65"/>
      <c r="T561" s="65"/>
      <c r="U561" s="13"/>
    </row>
    <row r="562">
      <c r="B562" s="51"/>
      <c r="C562" s="62"/>
      <c r="D562" s="13"/>
      <c r="E562" s="64"/>
      <c r="F562" s="64"/>
      <c r="G562" s="64"/>
      <c r="H562" s="64"/>
      <c r="I562" s="13"/>
      <c r="J562" s="64"/>
      <c r="K562" s="63"/>
      <c r="L562" s="63"/>
      <c r="M562" s="64"/>
      <c r="N562" s="13"/>
      <c r="Q562" s="26" t="s">
        <v>422</v>
      </c>
      <c r="R562" s="26"/>
      <c r="S562" s="65"/>
      <c r="T562" s="65"/>
      <c r="U562" s="13"/>
    </row>
    <row r="563">
      <c r="B563" s="51"/>
      <c r="C563" s="62"/>
      <c r="D563" s="13"/>
      <c r="E563" s="64"/>
      <c r="F563" s="64"/>
      <c r="G563" s="64"/>
      <c r="H563" s="64"/>
      <c r="I563" s="13"/>
      <c r="J563" s="64"/>
      <c r="K563" s="63"/>
      <c r="L563" s="63"/>
      <c r="M563" s="64"/>
      <c r="N563" s="13"/>
      <c r="Q563" s="26" t="s">
        <v>422</v>
      </c>
      <c r="R563" s="26"/>
      <c r="S563" s="65"/>
      <c r="T563" s="65"/>
      <c r="U563" s="13"/>
    </row>
    <row r="564">
      <c r="B564" s="51"/>
      <c r="C564" s="62"/>
      <c r="D564" s="13"/>
      <c r="E564" s="64"/>
      <c r="F564" s="64"/>
      <c r="G564" s="64"/>
      <c r="H564" s="64"/>
      <c r="I564" s="13"/>
      <c r="J564" s="64"/>
      <c r="K564" s="63"/>
      <c r="L564" s="63"/>
      <c r="M564" s="64"/>
      <c r="N564" s="13"/>
      <c r="Q564" s="26" t="s">
        <v>422</v>
      </c>
      <c r="R564" s="26"/>
      <c r="S564" s="65"/>
      <c r="T564" s="65"/>
      <c r="U564" s="13"/>
    </row>
    <row r="565">
      <c r="B565" s="51"/>
      <c r="C565" s="62"/>
      <c r="D565" s="13"/>
      <c r="E565" s="64"/>
      <c r="F565" s="64"/>
      <c r="G565" s="64"/>
      <c r="H565" s="64"/>
      <c r="I565" s="13"/>
      <c r="J565" s="64"/>
      <c r="K565" s="63"/>
      <c r="L565" s="63"/>
      <c r="M565" s="64"/>
      <c r="N565" s="13"/>
      <c r="Q565" s="26" t="s">
        <v>422</v>
      </c>
      <c r="R565" s="26"/>
      <c r="S565" s="65"/>
      <c r="T565" s="65"/>
      <c r="U565" s="13"/>
    </row>
    <row r="566">
      <c r="B566" s="51"/>
      <c r="C566" s="62"/>
      <c r="D566" s="13"/>
      <c r="E566" s="64"/>
      <c r="F566" s="64"/>
      <c r="G566" s="64"/>
      <c r="H566" s="64"/>
      <c r="I566" s="13"/>
      <c r="J566" s="64"/>
      <c r="K566" s="63"/>
      <c r="L566" s="63"/>
      <c r="M566" s="64"/>
      <c r="N566" s="13"/>
      <c r="Q566" s="26" t="s">
        <v>422</v>
      </c>
      <c r="R566" s="26"/>
      <c r="S566" s="65"/>
      <c r="T566" s="65"/>
      <c r="U566" s="13"/>
    </row>
    <row r="567">
      <c r="B567" s="51"/>
      <c r="C567" s="62"/>
      <c r="D567" s="13"/>
      <c r="E567" s="64"/>
      <c r="F567" s="64"/>
      <c r="G567" s="64"/>
      <c r="H567" s="64"/>
      <c r="I567" s="13"/>
      <c r="J567" s="64"/>
      <c r="K567" s="63"/>
      <c r="L567" s="63"/>
      <c r="M567" s="64"/>
      <c r="N567" s="13"/>
      <c r="Q567" s="26" t="s">
        <v>422</v>
      </c>
      <c r="R567" s="26"/>
      <c r="S567" s="65"/>
      <c r="T567" s="65"/>
      <c r="U567" s="13"/>
    </row>
    <row r="568">
      <c r="B568" s="51"/>
      <c r="C568" s="62"/>
      <c r="D568" s="13"/>
      <c r="E568" s="64"/>
      <c r="F568" s="64"/>
      <c r="G568" s="64"/>
      <c r="H568" s="64"/>
      <c r="I568" s="13"/>
      <c r="J568" s="64"/>
      <c r="K568" s="63"/>
      <c r="L568" s="63"/>
      <c r="M568" s="64"/>
      <c r="N568" s="13"/>
      <c r="Q568" s="26" t="s">
        <v>422</v>
      </c>
      <c r="R568" s="26"/>
      <c r="S568" s="65"/>
      <c r="T568" s="65"/>
      <c r="U568" s="13"/>
    </row>
    <row r="569">
      <c r="B569" s="51"/>
      <c r="C569" s="62"/>
      <c r="D569" s="13"/>
      <c r="E569" s="64"/>
      <c r="F569" s="64"/>
      <c r="G569" s="64"/>
      <c r="H569" s="64"/>
      <c r="I569" s="13"/>
      <c r="J569" s="64"/>
      <c r="K569" s="63"/>
      <c r="L569" s="63"/>
      <c r="M569" s="64"/>
      <c r="N569" s="13"/>
      <c r="Q569" s="26" t="s">
        <v>422</v>
      </c>
      <c r="R569" s="26"/>
      <c r="S569" s="65"/>
      <c r="T569" s="65"/>
      <c r="U569" s="13"/>
    </row>
    <row r="570">
      <c r="B570" s="51"/>
      <c r="C570" s="62"/>
      <c r="D570" s="13"/>
      <c r="E570" s="64"/>
      <c r="F570" s="64"/>
      <c r="G570" s="64"/>
      <c r="H570" s="64"/>
      <c r="I570" s="13"/>
      <c r="J570" s="64"/>
      <c r="K570" s="63"/>
      <c r="L570" s="63"/>
      <c r="M570" s="64"/>
      <c r="N570" s="13"/>
      <c r="Q570" s="26" t="s">
        <v>422</v>
      </c>
      <c r="R570" s="26"/>
      <c r="S570" s="65"/>
      <c r="T570" s="65"/>
      <c r="U570" s="13"/>
    </row>
    <row r="571">
      <c r="B571" s="51"/>
      <c r="C571" s="62"/>
      <c r="D571" s="13"/>
      <c r="E571" s="64"/>
      <c r="F571" s="64"/>
      <c r="G571" s="64"/>
      <c r="H571" s="64"/>
      <c r="I571" s="13"/>
      <c r="J571" s="64"/>
      <c r="K571" s="63"/>
      <c r="L571" s="63"/>
      <c r="M571" s="64"/>
      <c r="N571" s="13"/>
      <c r="Q571" s="26" t="s">
        <v>422</v>
      </c>
      <c r="R571" s="26"/>
      <c r="S571" s="65"/>
      <c r="T571" s="65"/>
      <c r="U571" s="13"/>
    </row>
    <row r="572">
      <c r="B572" s="51"/>
      <c r="C572" s="62"/>
      <c r="D572" s="13"/>
      <c r="E572" s="64"/>
      <c r="F572" s="64"/>
      <c r="G572" s="64"/>
      <c r="H572" s="64"/>
      <c r="I572" s="13"/>
      <c r="J572" s="64"/>
      <c r="K572" s="63"/>
      <c r="L572" s="63"/>
      <c r="M572" s="64"/>
      <c r="N572" s="13"/>
      <c r="Q572" s="26" t="s">
        <v>422</v>
      </c>
      <c r="R572" s="26"/>
      <c r="S572" s="65"/>
      <c r="T572" s="65"/>
      <c r="U572" s="13"/>
    </row>
    <row r="573">
      <c r="B573" s="51"/>
      <c r="C573" s="62"/>
      <c r="D573" s="13"/>
      <c r="E573" s="64"/>
      <c r="F573" s="64"/>
      <c r="G573" s="64"/>
      <c r="H573" s="64"/>
      <c r="I573" s="13"/>
      <c r="J573" s="64"/>
      <c r="K573" s="63"/>
      <c r="L573" s="63"/>
      <c r="M573" s="64"/>
      <c r="N573" s="13"/>
      <c r="Q573" s="26" t="s">
        <v>422</v>
      </c>
      <c r="R573" s="26"/>
      <c r="S573" s="65"/>
      <c r="T573" s="65"/>
      <c r="U573" s="13"/>
    </row>
    <row r="574">
      <c r="B574" s="51"/>
      <c r="C574" s="62"/>
      <c r="D574" s="13"/>
      <c r="E574" s="64"/>
      <c r="F574" s="64"/>
      <c r="G574" s="64"/>
      <c r="H574" s="64"/>
      <c r="I574" s="13"/>
      <c r="J574" s="64"/>
      <c r="K574" s="63"/>
      <c r="L574" s="63"/>
      <c r="M574" s="64"/>
      <c r="N574" s="13"/>
      <c r="Q574" s="26" t="s">
        <v>422</v>
      </c>
      <c r="R574" s="26"/>
      <c r="S574" s="65"/>
      <c r="T574" s="65"/>
      <c r="U574" s="13"/>
    </row>
    <row r="575">
      <c r="B575" s="51"/>
      <c r="C575" s="62"/>
      <c r="D575" s="13"/>
      <c r="E575" s="64"/>
      <c r="F575" s="64"/>
      <c r="G575" s="64"/>
      <c r="H575" s="64"/>
      <c r="I575" s="13"/>
      <c r="J575" s="64"/>
      <c r="K575" s="63"/>
      <c r="L575" s="63"/>
      <c r="M575" s="64"/>
      <c r="N575" s="13"/>
      <c r="Q575" s="26" t="s">
        <v>422</v>
      </c>
      <c r="R575" s="26"/>
      <c r="S575" s="65"/>
      <c r="T575" s="65"/>
      <c r="U575" s="13"/>
    </row>
    <row r="576">
      <c r="B576" s="51"/>
      <c r="C576" s="62"/>
      <c r="D576" s="13"/>
      <c r="E576" s="64"/>
      <c r="F576" s="64"/>
      <c r="G576" s="64"/>
      <c r="H576" s="64"/>
      <c r="I576" s="13"/>
      <c r="J576" s="64"/>
      <c r="K576" s="63"/>
      <c r="L576" s="63"/>
      <c r="M576" s="64"/>
      <c r="N576" s="13"/>
      <c r="Q576" s="26" t="s">
        <v>422</v>
      </c>
      <c r="R576" s="26"/>
      <c r="S576" s="65"/>
      <c r="T576" s="65"/>
      <c r="U576" s="13"/>
    </row>
    <row r="577">
      <c r="B577" s="51"/>
      <c r="C577" s="62"/>
      <c r="D577" s="13"/>
      <c r="E577" s="64"/>
      <c r="F577" s="64"/>
      <c r="G577" s="64"/>
      <c r="H577" s="64"/>
      <c r="I577" s="13"/>
      <c r="J577" s="64"/>
      <c r="K577" s="63"/>
      <c r="L577" s="63"/>
      <c r="M577" s="64"/>
      <c r="N577" s="13"/>
      <c r="Q577" s="26" t="s">
        <v>422</v>
      </c>
      <c r="R577" s="26"/>
      <c r="S577" s="65"/>
      <c r="T577" s="65"/>
      <c r="U577" s="13"/>
    </row>
    <row r="578">
      <c r="B578" s="51"/>
      <c r="C578" s="62"/>
      <c r="D578" s="13"/>
      <c r="E578" s="64"/>
      <c r="F578" s="64"/>
      <c r="G578" s="64"/>
      <c r="H578" s="64"/>
      <c r="I578" s="13"/>
      <c r="J578" s="64"/>
      <c r="K578" s="63"/>
      <c r="L578" s="63"/>
      <c r="M578" s="64"/>
      <c r="N578" s="13"/>
      <c r="Q578" s="26" t="s">
        <v>422</v>
      </c>
      <c r="R578" s="26"/>
      <c r="S578" s="65"/>
      <c r="T578" s="65"/>
      <c r="U578" s="13"/>
    </row>
    <row r="579">
      <c r="B579" s="51"/>
      <c r="C579" s="62"/>
      <c r="D579" s="13"/>
      <c r="E579" s="64"/>
      <c r="F579" s="64"/>
      <c r="G579" s="64"/>
      <c r="H579" s="64"/>
      <c r="I579" s="13"/>
      <c r="J579" s="64"/>
      <c r="K579" s="63"/>
      <c r="L579" s="63"/>
      <c r="M579" s="64"/>
      <c r="N579" s="13"/>
      <c r="Q579" s="26" t="s">
        <v>422</v>
      </c>
      <c r="R579" s="26"/>
      <c r="S579" s="65"/>
      <c r="T579" s="65"/>
      <c r="U579" s="13"/>
    </row>
    <row r="580">
      <c r="B580" s="51"/>
      <c r="C580" s="62"/>
      <c r="D580" s="13"/>
      <c r="E580" s="64"/>
      <c r="F580" s="64"/>
      <c r="G580" s="64"/>
      <c r="H580" s="64"/>
      <c r="I580" s="13"/>
      <c r="J580" s="64"/>
      <c r="K580" s="63"/>
      <c r="L580" s="63"/>
      <c r="M580" s="64"/>
      <c r="N580" s="13"/>
      <c r="Q580" s="26" t="s">
        <v>422</v>
      </c>
      <c r="R580" s="26"/>
      <c r="S580" s="65"/>
      <c r="T580" s="65"/>
      <c r="U580" s="13"/>
    </row>
    <row r="581">
      <c r="B581" s="51"/>
      <c r="C581" s="62"/>
      <c r="D581" s="13"/>
      <c r="E581" s="64"/>
      <c r="F581" s="64"/>
      <c r="G581" s="64"/>
      <c r="H581" s="64"/>
      <c r="I581" s="13"/>
      <c r="J581" s="64"/>
      <c r="K581" s="63"/>
      <c r="L581" s="63"/>
      <c r="M581" s="64"/>
      <c r="N581" s="13"/>
      <c r="Q581" s="26" t="s">
        <v>422</v>
      </c>
      <c r="R581" s="26"/>
      <c r="S581" s="65"/>
      <c r="T581" s="65"/>
      <c r="U581" s="13"/>
    </row>
    <row r="582">
      <c r="B582" s="51"/>
      <c r="C582" s="62"/>
      <c r="D582" s="13"/>
      <c r="E582" s="64"/>
      <c r="F582" s="64"/>
      <c r="G582" s="64"/>
      <c r="H582" s="64"/>
      <c r="I582" s="13"/>
      <c r="J582" s="64"/>
      <c r="K582" s="63"/>
      <c r="L582" s="63"/>
      <c r="M582" s="64"/>
      <c r="N582" s="13"/>
      <c r="Q582" s="26" t="s">
        <v>422</v>
      </c>
      <c r="R582" s="26"/>
      <c r="S582" s="65"/>
      <c r="T582" s="65"/>
      <c r="U582" s="13"/>
    </row>
    <row r="583">
      <c r="B583" s="51"/>
      <c r="C583" s="62"/>
      <c r="D583" s="13"/>
      <c r="E583" s="64"/>
      <c r="F583" s="64"/>
      <c r="G583" s="64"/>
      <c r="H583" s="64"/>
      <c r="I583" s="13"/>
      <c r="J583" s="64"/>
      <c r="K583" s="63"/>
      <c r="L583" s="63"/>
      <c r="M583" s="64"/>
      <c r="N583" s="13"/>
      <c r="Q583" s="26" t="s">
        <v>422</v>
      </c>
      <c r="R583" s="26"/>
      <c r="S583" s="65"/>
      <c r="T583" s="65"/>
      <c r="U583" s="13"/>
    </row>
    <row r="584">
      <c r="B584" s="51"/>
      <c r="C584" s="62"/>
      <c r="D584" s="13"/>
      <c r="E584" s="64"/>
      <c r="F584" s="64"/>
      <c r="G584" s="64"/>
      <c r="H584" s="64"/>
      <c r="I584" s="13"/>
      <c r="J584" s="64"/>
      <c r="K584" s="63"/>
      <c r="L584" s="63"/>
      <c r="M584" s="64"/>
      <c r="N584" s="13"/>
      <c r="Q584" s="26" t="s">
        <v>422</v>
      </c>
      <c r="R584" s="26"/>
      <c r="S584" s="65"/>
      <c r="T584" s="65"/>
      <c r="U584" s="13"/>
    </row>
    <row r="585">
      <c r="B585" s="51"/>
      <c r="C585" s="62"/>
      <c r="D585" s="13"/>
      <c r="E585" s="64"/>
      <c r="F585" s="64"/>
      <c r="G585" s="64"/>
      <c r="H585" s="64"/>
      <c r="I585" s="13"/>
      <c r="J585" s="64"/>
      <c r="K585" s="63"/>
      <c r="L585" s="63"/>
      <c r="M585" s="64"/>
      <c r="N585" s="13"/>
      <c r="Q585" s="26" t="s">
        <v>422</v>
      </c>
      <c r="R585" s="26"/>
      <c r="S585" s="65"/>
      <c r="T585" s="65"/>
      <c r="U585" s="13"/>
    </row>
    <row r="586">
      <c r="B586" s="51"/>
      <c r="C586" s="62"/>
      <c r="D586" s="13"/>
      <c r="E586" s="64"/>
      <c r="F586" s="64"/>
      <c r="G586" s="64"/>
      <c r="H586" s="64"/>
      <c r="I586" s="13"/>
      <c r="J586" s="64"/>
      <c r="K586" s="63"/>
      <c r="L586" s="63"/>
      <c r="M586" s="64"/>
      <c r="N586" s="13"/>
      <c r="Q586" s="26" t="s">
        <v>422</v>
      </c>
      <c r="R586" s="26"/>
      <c r="S586" s="65"/>
      <c r="T586" s="65"/>
      <c r="U586" s="13"/>
    </row>
    <row r="587">
      <c r="B587" s="51"/>
      <c r="C587" s="62"/>
      <c r="D587" s="13"/>
      <c r="E587" s="64"/>
      <c r="F587" s="64"/>
      <c r="G587" s="64"/>
      <c r="H587" s="64"/>
      <c r="I587" s="13"/>
      <c r="J587" s="64"/>
      <c r="K587" s="63"/>
      <c r="L587" s="63"/>
      <c r="M587" s="64"/>
      <c r="N587" s="13"/>
      <c r="Q587" s="26" t="s">
        <v>422</v>
      </c>
      <c r="R587" s="26"/>
      <c r="S587" s="65"/>
      <c r="T587" s="65"/>
      <c r="U587" s="13"/>
    </row>
    <row r="588">
      <c r="B588" s="51"/>
      <c r="C588" s="62"/>
      <c r="D588" s="13"/>
      <c r="E588" s="64"/>
      <c r="F588" s="64"/>
      <c r="G588" s="64"/>
      <c r="H588" s="64"/>
      <c r="I588" s="13"/>
      <c r="J588" s="64"/>
      <c r="K588" s="63"/>
      <c r="L588" s="63"/>
      <c r="M588" s="64"/>
      <c r="N588" s="13"/>
      <c r="Q588" s="26" t="s">
        <v>422</v>
      </c>
      <c r="R588" s="26"/>
      <c r="S588" s="65"/>
      <c r="T588" s="65"/>
      <c r="U588" s="13"/>
    </row>
    <row r="589">
      <c r="B589" s="51"/>
      <c r="C589" s="62"/>
      <c r="D589" s="13"/>
      <c r="E589" s="64"/>
      <c r="F589" s="64"/>
      <c r="G589" s="64"/>
      <c r="H589" s="64"/>
      <c r="I589" s="13"/>
      <c r="J589" s="64"/>
      <c r="K589" s="63"/>
      <c r="L589" s="63"/>
      <c r="M589" s="64"/>
      <c r="N589" s="13"/>
      <c r="Q589" s="26" t="s">
        <v>422</v>
      </c>
      <c r="R589" s="26"/>
      <c r="S589" s="65"/>
      <c r="T589" s="65"/>
      <c r="U589" s="13"/>
    </row>
    <row r="590">
      <c r="B590" s="51"/>
      <c r="C590" s="62"/>
      <c r="D590" s="13"/>
      <c r="E590" s="64"/>
      <c r="F590" s="64"/>
      <c r="G590" s="64"/>
      <c r="H590" s="64"/>
      <c r="I590" s="13"/>
      <c r="J590" s="64"/>
      <c r="K590" s="63"/>
      <c r="L590" s="63"/>
      <c r="M590" s="64"/>
      <c r="N590" s="13"/>
      <c r="Q590" s="26" t="s">
        <v>422</v>
      </c>
      <c r="R590" s="26"/>
      <c r="S590" s="65"/>
      <c r="T590" s="65"/>
      <c r="U590" s="13"/>
    </row>
    <row r="591">
      <c r="B591" s="51"/>
      <c r="C591" s="62"/>
      <c r="D591" s="13"/>
      <c r="E591" s="64"/>
      <c r="F591" s="64"/>
      <c r="G591" s="64"/>
      <c r="H591" s="64"/>
      <c r="I591" s="13"/>
      <c r="J591" s="64"/>
      <c r="K591" s="63"/>
      <c r="L591" s="63"/>
      <c r="M591" s="64"/>
      <c r="N591" s="13"/>
      <c r="Q591" s="26" t="s">
        <v>422</v>
      </c>
      <c r="R591" s="26"/>
      <c r="S591" s="65"/>
      <c r="T591" s="65"/>
      <c r="U591" s="13"/>
    </row>
    <row r="592">
      <c r="B592" s="51"/>
      <c r="C592" s="62"/>
      <c r="D592" s="13"/>
      <c r="E592" s="64"/>
      <c r="F592" s="64"/>
      <c r="G592" s="64"/>
      <c r="H592" s="64"/>
      <c r="I592" s="13"/>
      <c r="J592" s="64"/>
      <c r="K592" s="63"/>
      <c r="L592" s="63"/>
      <c r="M592" s="64"/>
      <c r="N592" s="13"/>
      <c r="Q592" s="26" t="s">
        <v>422</v>
      </c>
      <c r="R592" s="26"/>
      <c r="S592" s="65"/>
      <c r="T592" s="65"/>
      <c r="U592" s="13"/>
    </row>
    <row r="593">
      <c r="B593" s="51"/>
      <c r="C593" s="62"/>
      <c r="D593" s="13"/>
      <c r="E593" s="64"/>
      <c r="F593" s="64"/>
      <c r="G593" s="64"/>
      <c r="H593" s="64"/>
      <c r="I593" s="13"/>
      <c r="J593" s="64"/>
      <c r="K593" s="63"/>
      <c r="L593" s="63"/>
      <c r="M593" s="64"/>
      <c r="N593" s="13"/>
      <c r="Q593" s="26" t="s">
        <v>422</v>
      </c>
      <c r="R593" s="26"/>
      <c r="S593" s="65"/>
      <c r="T593" s="65"/>
      <c r="U593" s="13"/>
    </row>
    <row r="594">
      <c r="B594" s="51"/>
      <c r="C594" s="62"/>
      <c r="D594" s="13"/>
      <c r="E594" s="64"/>
      <c r="F594" s="64"/>
      <c r="G594" s="64"/>
      <c r="H594" s="64"/>
      <c r="I594" s="13"/>
      <c r="J594" s="64"/>
      <c r="K594" s="63"/>
      <c r="L594" s="63"/>
      <c r="M594" s="64"/>
      <c r="N594" s="13"/>
      <c r="Q594" s="26" t="s">
        <v>422</v>
      </c>
      <c r="R594" s="26"/>
      <c r="S594" s="65"/>
      <c r="T594" s="65"/>
      <c r="U594" s="13"/>
    </row>
    <row r="595">
      <c r="B595" s="51"/>
      <c r="C595" s="62"/>
      <c r="D595" s="13"/>
      <c r="E595" s="64"/>
      <c r="F595" s="64"/>
      <c r="G595" s="64"/>
      <c r="H595" s="64"/>
      <c r="I595" s="13"/>
      <c r="J595" s="64"/>
      <c r="K595" s="63"/>
      <c r="L595" s="63"/>
      <c r="M595" s="64"/>
      <c r="N595" s="13"/>
      <c r="Q595" s="26" t="s">
        <v>422</v>
      </c>
      <c r="R595" s="26"/>
      <c r="S595" s="65"/>
      <c r="T595" s="65"/>
      <c r="U595" s="13"/>
    </row>
    <row r="596">
      <c r="B596" s="51"/>
      <c r="C596" s="62"/>
      <c r="D596" s="13"/>
      <c r="E596" s="64"/>
      <c r="F596" s="64"/>
      <c r="G596" s="64"/>
      <c r="H596" s="64"/>
      <c r="I596" s="13"/>
      <c r="J596" s="64"/>
      <c r="K596" s="63"/>
      <c r="L596" s="63"/>
      <c r="M596" s="64"/>
      <c r="N596" s="13"/>
      <c r="Q596" s="26" t="s">
        <v>422</v>
      </c>
      <c r="R596" s="26"/>
      <c r="S596" s="65"/>
      <c r="T596" s="65"/>
      <c r="U596" s="13"/>
    </row>
    <row r="597">
      <c r="B597" s="51"/>
      <c r="C597" s="62"/>
      <c r="D597" s="13"/>
      <c r="E597" s="64"/>
      <c r="F597" s="64"/>
      <c r="G597" s="64"/>
      <c r="H597" s="64"/>
      <c r="I597" s="13"/>
      <c r="J597" s="64"/>
      <c r="K597" s="63"/>
      <c r="L597" s="63"/>
      <c r="M597" s="64"/>
      <c r="N597" s="13"/>
      <c r="Q597" s="26" t="s">
        <v>422</v>
      </c>
      <c r="R597" s="26"/>
      <c r="S597" s="65"/>
      <c r="T597" s="65"/>
      <c r="U597" s="13"/>
    </row>
    <row r="598">
      <c r="B598" s="51"/>
      <c r="C598" s="62"/>
      <c r="D598" s="13"/>
      <c r="E598" s="64"/>
      <c r="F598" s="64"/>
      <c r="G598" s="64"/>
      <c r="H598" s="64"/>
      <c r="I598" s="13"/>
      <c r="J598" s="64"/>
      <c r="K598" s="63"/>
      <c r="L598" s="63"/>
      <c r="M598" s="64"/>
      <c r="N598" s="13"/>
      <c r="Q598" s="26" t="s">
        <v>422</v>
      </c>
      <c r="R598" s="26"/>
      <c r="S598" s="65"/>
      <c r="T598" s="65"/>
      <c r="U598" s="13"/>
    </row>
    <row r="599">
      <c r="B599" s="51"/>
      <c r="C599" s="62"/>
      <c r="D599" s="13"/>
      <c r="E599" s="64"/>
      <c r="F599" s="64"/>
      <c r="G599" s="64"/>
      <c r="H599" s="64"/>
      <c r="I599" s="13"/>
      <c r="J599" s="64"/>
      <c r="K599" s="63"/>
      <c r="L599" s="63"/>
      <c r="M599" s="64"/>
      <c r="N599" s="13"/>
      <c r="Q599" s="26" t="s">
        <v>422</v>
      </c>
      <c r="R599" s="26"/>
      <c r="S599" s="65"/>
      <c r="T599" s="65"/>
      <c r="U599" s="13"/>
    </row>
    <row r="600">
      <c r="B600" s="51"/>
      <c r="C600" s="62"/>
      <c r="D600" s="13"/>
      <c r="E600" s="64"/>
      <c r="F600" s="64"/>
      <c r="G600" s="64"/>
      <c r="H600" s="64"/>
      <c r="I600" s="13"/>
      <c r="J600" s="64"/>
      <c r="K600" s="63"/>
      <c r="L600" s="63"/>
      <c r="M600" s="64"/>
      <c r="N600" s="13"/>
      <c r="Q600" s="26" t="s">
        <v>422</v>
      </c>
      <c r="R600" s="26"/>
      <c r="S600" s="65"/>
      <c r="T600" s="65"/>
      <c r="U600" s="13"/>
    </row>
    <row r="601">
      <c r="B601" s="51"/>
      <c r="C601" s="62"/>
      <c r="D601" s="13"/>
      <c r="E601" s="64"/>
      <c r="F601" s="64"/>
      <c r="G601" s="64"/>
      <c r="H601" s="64"/>
      <c r="I601" s="13"/>
      <c r="J601" s="64"/>
      <c r="K601" s="63"/>
      <c r="L601" s="63"/>
      <c r="M601" s="64"/>
      <c r="N601" s="13"/>
      <c r="Q601" s="26" t="s">
        <v>422</v>
      </c>
      <c r="R601" s="26"/>
      <c r="S601" s="65"/>
      <c r="T601" s="65"/>
      <c r="U601" s="13"/>
    </row>
    <row r="602">
      <c r="B602" s="51"/>
      <c r="C602" s="62"/>
      <c r="D602" s="13"/>
      <c r="E602" s="64"/>
      <c r="F602" s="64"/>
      <c r="G602" s="64"/>
      <c r="H602" s="64"/>
      <c r="I602" s="13"/>
      <c r="J602" s="64"/>
      <c r="K602" s="63"/>
      <c r="L602" s="63"/>
      <c r="M602" s="64"/>
      <c r="N602" s="13"/>
      <c r="Q602" s="26" t="s">
        <v>422</v>
      </c>
      <c r="R602" s="26"/>
      <c r="S602" s="65"/>
      <c r="T602" s="65"/>
      <c r="U602" s="13"/>
    </row>
    <row r="603">
      <c r="B603" s="51"/>
      <c r="C603" s="62"/>
      <c r="D603" s="13"/>
      <c r="E603" s="64"/>
      <c r="F603" s="64"/>
      <c r="G603" s="64"/>
      <c r="H603" s="64"/>
      <c r="I603" s="13"/>
      <c r="J603" s="64"/>
      <c r="K603" s="63"/>
      <c r="L603" s="63"/>
      <c r="M603" s="64"/>
      <c r="N603" s="13"/>
      <c r="Q603" s="26" t="s">
        <v>422</v>
      </c>
      <c r="R603" s="26"/>
      <c r="S603" s="65"/>
      <c r="T603" s="65"/>
      <c r="U603" s="13"/>
    </row>
    <row r="604">
      <c r="B604" s="51"/>
      <c r="C604" s="62"/>
      <c r="D604" s="13"/>
      <c r="E604" s="64"/>
      <c r="F604" s="64"/>
      <c r="G604" s="64"/>
      <c r="H604" s="64"/>
      <c r="I604" s="13"/>
      <c r="J604" s="64"/>
      <c r="K604" s="63"/>
      <c r="L604" s="63"/>
      <c r="M604" s="64"/>
      <c r="N604" s="13"/>
      <c r="Q604" s="26" t="s">
        <v>422</v>
      </c>
      <c r="R604" s="26"/>
      <c r="S604" s="65"/>
      <c r="T604" s="65"/>
      <c r="U604" s="13"/>
    </row>
    <row r="605">
      <c r="B605" s="51"/>
      <c r="C605" s="62"/>
      <c r="D605" s="13"/>
      <c r="E605" s="64"/>
      <c r="F605" s="64"/>
      <c r="G605" s="64"/>
      <c r="H605" s="64"/>
      <c r="I605" s="13"/>
      <c r="J605" s="64"/>
      <c r="K605" s="63"/>
      <c r="L605" s="63"/>
      <c r="M605" s="64"/>
      <c r="N605" s="13"/>
      <c r="Q605" s="26" t="s">
        <v>422</v>
      </c>
      <c r="R605" s="26"/>
      <c r="S605" s="65"/>
      <c r="T605" s="65"/>
      <c r="U605" s="13"/>
    </row>
    <row r="606">
      <c r="B606" s="51"/>
      <c r="C606" s="62"/>
      <c r="D606" s="13"/>
      <c r="E606" s="64"/>
      <c r="F606" s="64"/>
      <c r="G606" s="64"/>
      <c r="H606" s="64"/>
      <c r="I606" s="13"/>
      <c r="J606" s="64"/>
      <c r="K606" s="63"/>
      <c r="L606" s="63"/>
      <c r="M606" s="64"/>
      <c r="N606" s="13"/>
      <c r="Q606" s="26" t="s">
        <v>422</v>
      </c>
      <c r="R606" s="26"/>
      <c r="S606" s="65"/>
      <c r="T606" s="65"/>
      <c r="U606" s="13"/>
    </row>
    <row r="607">
      <c r="B607" s="51"/>
      <c r="C607" s="62"/>
      <c r="D607" s="13"/>
      <c r="E607" s="64"/>
      <c r="F607" s="64"/>
      <c r="G607" s="64"/>
      <c r="H607" s="64"/>
      <c r="I607" s="13"/>
      <c r="J607" s="64"/>
      <c r="K607" s="63"/>
      <c r="L607" s="63"/>
      <c r="M607" s="64"/>
      <c r="N607" s="13"/>
      <c r="Q607" s="26" t="s">
        <v>422</v>
      </c>
      <c r="R607" s="26"/>
      <c r="S607" s="65"/>
      <c r="T607" s="65"/>
      <c r="U607" s="13"/>
    </row>
    <row r="608">
      <c r="B608" s="51"/>
      <c r="C608" s="62"/>
      <c r="D608" s="13"/>
      <c r="E608" s="64"/>
      <c r="F608" s="64"/>
      <c r="G608" s="64"/>
      <c r="H608" s="64"/>
      <c r="I608" s="13"/>
      <c r="J608" s="64"/>
      <c r="K608" s="63"/>
      <c r="L608" s="63"/>
      <c r="M608" s="64"/>
      <c r="N608" s="13"/>
      <c r="Q608" s="26" t="s">
        <v>422</v>
      </c>
      <c r="R608" s="26"/>
      <c r="S608" s="65"/>
      <c r="T608" s="65"/>
      <c r="U608" s="13"/>
    </row>
    <row r="609">
      <c r="B609" s="51"/>
      <c r="C609" s="62"/>
      <c r="D609" s="13"/>
      <c r="E609" s="64"/>
      <c r="F609" s="64"/>
      <c r="G609" s="64"/>
      <c r="H609" s="64"/>
      <c r="I609" s="13"/>
      <c r="J609" s="64"/>
      <c r="K609" s="63"/>
      <c r="L609" s="63"/>
      <c r="M609" s="64"/>
      <c r="N609" s="13"/>
      <c r="Q609" s="26" t="s">
        <v>422</v>
      </c>
      <c r="R609" s="26"/>
      <c r="S609" s="65"/>
      <c r="T609" s="65"/>
      <c r="U609" s="13"/>
    </row>
    <row r="610">
      <c r="B610" s="51"/>
      <c r="C610" s="62"/>
      <c r="D610" s="13"/>
      <c r="E610" s="64"/>
      <c r="F610" s="64"/>
      <c r="G610" s="64"/>
      <c r="H610" s="64"/>
      <c r="I610" s="13"/>
      <c r="J610" s="64"/>
      <c r="K610" s="63"/>
      <c r="L610" s="63"/>
      <c r="M610" s="64"/>
      <c r="N610" s="13"/>
      <c r="Q610" s="26" t="s">
        <v>422</v>
      </c>
      <c r="R610" s="26"/>
      <c r="S610" s="65"/>
      <c r="T610" s="65"/>
      <c r="U610" s="13"/>
    </row>
    <row r="611">
      <c r="B611" s="51"/>
      <c r="C611" s="62"/>
      <c r="D611" s="13"/>
      <c r="E611" s="64"/>
      <c r="F611" s="64"/>
      <c r="G611" s="64"/>
      <c r="H611" s="64"/>
      <c r="I611" s="13"/>
      <c r="J611" s="64"/>
      <c r="K611" s="63"/>
      <c r="L611" s="63"/>
      <c r="M611" s="64"/>
      <c r="N611" s="13"/>
      <c r="Q611" s="26" t="s">
        <v>422</v>
      </c>
      <c r="R611" s="26"/>
      <c r="S611" s="65"/>
      <c r="T611" s="65"/>
      <c r="U611" s="13"/>
    </row>
    <row r="612">
      <c r="B612" s="51"/>
      <c r="C612" s="62"/>
      <c r="D612" s="13"/>
      <c r="E612" s="64"/>
      <c r="F612" s="64"/>
      <c r="G612" s="64"/>
      <c r="H612" s="64"/>
      <c r="I612" s="13"/>
      <c r="J612" s="64"/>
      <c r="K612" s="63"/>
      <c r="L612" s="63"/>
      <c r="M612" s="64"/>
      <c r="N612" s="13"/>
      <c r="Q612" s="26" t="s">
        <v>422</v>
      </c>
      <c r="R612" s="26"/>
      <c r="S612" s="65"/>
      <c r="T612" s="65"/>
      <c r="U612" s="13"/>
    </row>
    <row r="613">
      <c r="B613" s="51"/>
      <c r="C613" s="62"/>
      <c r="D613" s="13"/>
      <c r="E613" s="64"/>
      <c r="F613" s="64"/>
      <c r="G613" s="64"/>
      <c r="H613" s="64"/>
      <c r="I613" s="13"/>
      <c r="J613" s="64"/>
      <c r="K613" s="63"/>
      <c r="L613" s="63"/>
      <c r="M613" s="64"/>
      <c r="N613" s="13"/>
      <c r="Q613" s="26" t="s">
        <v>422</v>
      </c>
      <c r="R613" s="26"/>
      <c r="S613" s="65"/>
      <c r="T613" s="65"/>
      <c r="U613" s="13"/>
    </row>
    <row r="614">
      <c r="B614" s="51"/>
      <c r="C614" s="62"/>
      <c r="D614" s="13"/>
      <c r="E614" s="64"/>
      <c r="F614" s="64"/>
      <c r="G614" s="64"/>
      <c r="H614" s="64"/>
      <c r="I614" s="13"/>
      <c r="J614" s="64"/>
      <c r="K614" s="63"/>
      <c r="L614" s="63"/>
      <c r="M614" s="64"/>
      <c r="N614" s="13"/>
      <c r="Q614" s="26" t="s">
        <v>422</v>
      </c>
      <c r="R614" s="26"/>
      <c r="S614" s="65"/>
      <c r="T614" s="65"/>
      <c r="U614" s="13"/>
    </row>
    <row r="615">
      <c r="B615" s="51"/>
      <c r="C615" s="62"/>
      <c r="D615" s="13"/>
      <c r="E615" s="64"/>
      <c r="F615" s="64"/>
      <c r="G615" s="64"/>
      <c r="H615" s="64"/>
      <c r="I615" s="13"/>
      <c r="J615" s="64"/>
      <c r="K615" s="63"/>
      <c r="L615" s="63"/>
      <c r="M615" s="64"/>
      <c r="N615" s="13"/>
      <c r="Q615" s="26" t="s">
        <v>422</v>
      </c>
      <c r="R615" s="26"/>
      <c r="S615" s="65"/>
      <c r="T615" s="65"/>
      <c r="U615" s="13"/>
    </row>
    <row r="616">
      <c r="B616" s="51"/>
      <c r="C616" s="62"/>
      <c r="D616" s="13"/>
      <c r="E616" s="64"/>
      <c r="F616" s="64"/>
      <c r="G616" s="64"/>
      <c r="H616" s="64"/>
      <c r="I616" s="13"/>
      <c r="J616" s="64"/>
      <c r="K616" s="63"/>
      <c r="L616" s="63"/>
      <c r="M616" s="64"/>
      <c r="N616" s="13"/>
      <c r="Q616" s="26" t="s">
        <v>422</v>
      </c>
      <c r="R616" s="26"/>
      <c r="S616" s="65"/>
      <c r="T616" s="65"/>
      <c r="U616" s="13"/>
    </row>
    <row r="617">
      <c r="B617" s="51"/>
      <c r="C617" s="62"/>
      <c r="D617" s="13"/>
      <c r="E617" s="64"/>
      <c r="F617" s="64"/>
      <c r="G617" s="64"/>
      <c r="H617" s="64"/>
      <c r="I617" s="13"/>
      <c r="J617" s="64"/>
      <c r="K617" s="63"/>
      <c r="L617" s="63"/>
      <c r="M617" s="64"/>
      <c r="N617" s="13"/>
      <c r="Q617" s="26" t="s">
        <v>422</v>
      </c>
      <c r="R617" s="26"/>
      <c r="S617" s="65"/>
      <c r="T617" s="65"/>
      <c r="U617" s="13"/>
    </row>
    <row r="618">
      <c r="B618" s="51"/>
      <c r="C618" s="62"/>
      <c r="D618" s="13"/>
      <c r="E618" s="64"/>
      <c r="F618" s="64"/>
      <c r="G618" s="64"/>
      <c r="H618" s="64"/>
      <c r="I618" s="13"/>
      <c r="J618" s="64"/>
      <c r="K618" s="63"/>
      <c r="L618" s="63"/>
      <c r="M618" s="64"/>
      <c r="N618" s="13"/>
      <c r="Q618" s="26" t="s">
        <v>422</v>
      </c>
      <c r="R618" s="26"/>
      <c r="S618" s="65"/>
      <c r="T618" s="65"/>
      <c r="U618" s="13"/>
    </row>
    <row r="619">
      <c r="B619" s="51"/>
      <c r="C619" s="62"/>
      <c r="D619" s="13"/>
      <c r="E619" s="64"/>
      <c r="F619" s="64"/>
      <c r="G619" s="64"/>
      <c r="H619" s="64"/>
      <c r="I619" s="13"/>
      <c r="J619" s="64"/>
      <c r="K619" s="63"/>
      <c r="L619" s="63"/>
      <c r="M619" s="64"/>
      <c r="N619" s="13"/>
      <c r="Q619" s="26" t="s">
        <v>422</v>
      </c>
      <c r="R619" s="26"/>
      <c r="S619" s="65"/>
      <c r="T619" s="65"/>
      <c r="U619" s="13"/>
    </row>
    <row r="620">
      <c r="B620" s="51"/>
      <c r="C620" s="62"/>
      <c r="D620" s="13"/>
      <c r="E620" s="64"/>
      <c r="F620" s="64"/>
      <c r="G620" s="64"/>
      <c r="H620" s="64"/>
      <c r="I620" s="13"/>
      <c r="J620" s="64"/>
      <c r="K620" s="63"/>
      <c r="L620" s="63"/>
      <c r="M620" s="64"/>
      <c r="N620" s="13"/>
      <c r="Q620" s="26" t="s">
        <v>422</v>
      </c>
      <c r="R620" s="26"/>
      <c r="S620" s="65"/>
      <c r="T620" s="65"/>
      <c r="U620" s="13"/>
    </row>
    <row r="621">
      <c r="B621" s="51"/>
      <c r="C621" s="62"/>
      <c r="D621" s="13"/>
      <c r="E621" s="64"/>
      <c r="F621" s="64"/>
      <c r="G621" s="64"/>
      <c r="H621" s="64"/>
      <c r="I621" s="13"/>
      <c r="J621" s="64"/>
      <c r="K621" s="63"/>
      <c r="L621" s="63"/>
      <c r="M621" s="64"/>
      <c r="N621" s="13"/>
      <c r="Q621" s="26" t="s">
        <v>422</v>
      </c>
      <c r="R621" s="26"/>
      <c r="S621" s="65"/>
      <c r="T621" s="65"/>
      <c r="U621" s="13"/>
    </row>
    <row r="622">
      <c r="B622" s="51"/>
      <c r="C622" s="62"/>
      <c r="D622" s="13"/>
      <c r="E622" s="64"/>
      <c r="F622" s="64"/>
      <c r="G622" s="64"/>
      <c r="H622" s="64"/>
      <c r="I622" s="13"/>
      <c r="J622" s="64"/>
      <c r="K622" s="63"/>
      <c r="L622" s="63"/>
      <c r="M622" s="64"/>
      <c r="N622" s="13"/>
      <c r="Q622" s="26" t="s">
        <v>422</v>
      </c>
      <c r="R622" s="26"/>
      <c r="S622" s="65"/>
      <c r="T622" s="65"/>
      <c r="U622" s="13"/>
    </row>
    <row r="623">
      <c r="B623" s="51"/>
      <c r="C623" s="62"/>
      <c r="D623" s="13"/>
      <c r="E623" s="64"/>
      <c r="F623" s="64"/>
      <c r="G623" s="64"/>
      <c r="H623" s="64"/>
      <c r="I623" s="13"/>
      <c r="J623" s="64"/>
      <c r="K623" s="63"/>
      <c r="L623" s="63"/>
      <c r="M623" s="64"/>
      <c r="N623" s="13"/>
      <c r="Q623" s="26" t="s">
        <v>422</v>
      </c>
      <c r="R623" s="26"/>
      <c r="S623" s="65"/>
      <c r="T623" s="65"/>
      <c r="U623" s="13"/>
    </row>
    <row r="624">
      <c r="B624" s="51"/>
      <c r="C624" s="62"/>
      <c r="D624" s="13"/>
      <c r="E624" s="64"/>
      <c r="F624" s="64"/>
      <c r="G624" s="64"/>
      <c r="H624" s="64"/>
      <c r="I624" s="13"/>
      <c r="J624" s="64"/>
      <c r="K624" s="63"/>
      <c r="L624" s="63"/>
      <c r="M624" s="64"/>
      <c r="N624" s="13"/>
      <c r="Q624" s="26" t="s">
        <v>422</v>
      </c>
      <c r="R624" s="26"/>
      <c r="S624" s="65"/>
      <c r="T624" s="65"/>
      <c r="U624" s="13"/>
    </row>
    <row r="625">
      <c r="B625" s="51"/>
      <c r="C625" s="62"/>
      <c r="D625" s="13"/>
      <c r="E625" s="64"/>
      <c r="F625" s="64"/>
      <c r="G625" s="64"/>
      <c r="H625" s="64"/>
      <c r="I625" s="13"/>
      <c r="J625" s="64"/>
      <c r="K625" s="63"/>
      <c r="L625" s="63"/>
      <c r="M625" s="64"/>
      <c r="N625" s="13"/>
      <c r="Q625" s="26" t="s">
        <v>422</v>
      </c>
      <c r="R625" s="26"/>
      <c r="S625" s="65"/>
      <c r="T625" s="65"/>
      <c r="U625" s="13"/>
    </row>
    <row r="626">
      <c r="B626" s="51"/>
      <c r="C626" s="62"/>
      <c r="D626" s="13"/>
      <c r="E626" s="64"/>
      <c r="F626" s="64"/>
      <c r="G626" s="64"/>
      <c r="H626" s="64"/>
      <c r="I626" s="13"/>
      <c r="J626" s="64"/>
      <c r="K626" s="63"/>
      <c r="L626" s="63"/>
      <c r="M626" s="64"/>
      <c r="N626" s="13"/>
      <c r="Q626" s="26" t="s">
        <v>422</v>
      </c>
      <c r="R626" s="26"/>
      <c r="S626" s="65"/>
      <c r="T626" s="65"/>
      <c r="U626" s="13"/>
    </row>
    <row r="627">
      <c r="B627" s="51"/>
      <c r="C627" s="62"/>
      <c r="D627" s="13"/>
      <c r="E627" s="64"/>
      <c r="F627" s="64"/>
      <c r="G627" s="64"/>
      <c r="H627" s="64"/>
      <c r="I627" s="13"/>
      <c r="J627" s="64"/>
      <c r="K627" s="63"/>
      <c r="L627" s="63"/>
      <c r="M627" s="64"/>
      <c r="N627" s="13"/>
      <c r="Q627" s="26" t="s">
        <v>422</v>
      </c>
      <c r="R627" s="26"/>
      <c r="S627" s="65"/>
      <c r="T627" s="65"/>
      <c r="U627" s="13"/>
    </row>
    <row r="628">
      <c r="B628" s="51"/>
      <c r="C628" s="62"/>
      <c r="D628" s="13"/>
      <c r="E628" s="64"/>
      <c r="F628" s="64"/>
      <c r="G628" s="64"/>
      <c r="H628" s="64"/>
      <c r="I628" s="13"/>
      <c r="J628" s="64"/>
      <c r="K628" s="63"/>
      <c r="L628" s="63"/>
      <c r="M628" s="64"/>
      <c r="N628" s="13"/>
      <c r="Q628" s="26" t="s">
        <v>422</v>
      </c>
      <c r="R628" s="26"/>
      <c r="S628" s="65"/>
      <c r="T628" s="65"/>
      <c r="U628" s="13"/>
    </row>
    <row r="629">
      <c r="B629" s="51"/>
      <c r="C629" s="62"/>
      <c r="D629" s="13"/>
      <c r="E629" s="64"/>
      <c r="F629" s="64"/>
      <c r="G629" s="64"/>
      <c r="H629" s="64"/>
      <c r="I629" s="13"/>
      <c r="J629" s="64"/>
      <c r="K629" s="63"/>
      <c r="L629" s="63"/>
      <c r="M629" s="64"/>
      <c r="N629" s="13"/>
      <c r="Q629" s="26" t="s">
        <v>422</v>
      </c>
      <c r="R629" s="26"/>
      <c r="S629" s="65"/>
      <c r="T629" s="65"/>
      <c r="U629" s="13"/>
    </row>
    <row r="630">
      <c r="B630" s="51"/>
      <c r="C630" s="62"/>
      <c r="D630" s="13"/>
      <c r="E630" s="64"/>
      <c r="F630" s="64"/>
      <c r="G630" s="64"/>
      <c r="H630" s="64"/>
      <c r="I630" s="13"/>
      <c r="J630" s="64"/>
      <c r="K630" s="63"/>
      <c r="L630" s="63"/>
      <c r="M630" s="64"/>
      <c r="N630" s="13"/>
      <c r="Q630" s="26" t="s">
        <v>422</v>
      </c>
      <c r="R630" s="26"/>
      <c r="S630" s="65"/>
      <c r="T630" s="65"/>
      <c r="U630" s="13"/>
    </row>
    <row r="631">
      <c r="B631" s="51"/>
      <c r="C631" s="62"/>
      <c r="D631" s="13"/>
      <c r="E631" s="64"/>
      <c r="F631" s="64"/>
      <c r="G631" s="64"/>
      <c r="H631" s="64"/>
      <c r="I631" s="13"/>
      <c r="J631" s="64"/>
      <c r="K631" s="63"/>
      <c r="L631" s="63"/>
      <c r="M631" s="64"/>
      <c r="N631" s="13"/>
      <c r="Q631" s="26" t="s">
        <v>422</v>
      </c>
      <c r="R631" s="26"/>
      <c r="S631" s="65"/>
      <c r="T631" s="65"/>
      <c r="U631" s="13"/>
    </row>
    <row r="632">
      <c r="B632" s="51"/>
      <c r="C632" s="62"/>
      <c r="D632" s="13"/>
      <c r="E632" s="64"/>
      <c r="F632" s="64"/>
      <c r="G632" s="64"/>
      <c r="H632" s="64"/>
      <c r="I632" s="13"/>
      <c r="J632" s="64"/>
      <c r="K632" s="63"/>
      <c r="L632" s="63"/>
      <c r="M632" s="64"/>
      <c r="N632" s="13"/>
      <c r="Q632" s="26" t="s">
        <v>422</v>
      </c>
      <c r="R632" s="26"/>
      <c r="S632" s="65"/>
      <c r="T632" s="65"/>
      <c r="U632" s="13"/>
    </row>
    <row r="633">
      <c r="B633" s="51"/>
      <c r="C633" s="62"/>
      <c r="D633" s="13"/>
      <c r="E633" s="64"/>
      <c r="F633" s="64"/>
      <c r="G633" s="64"/>
      <c r="H633" s="64"/>
      <c r="I633" s="13"/>
      <c r="J633" s="64"/>
      <c r="K633" s="63"/>
      <c r="L633" s="63"/>
      <c r="M633" s="64"/>
      <c r="N633" s="13"/>
      <c r="Q633" s="26" t="s">
        <v>422</v>
      </c>
      <c r="R633" s="26"/>
      <c r="S633" s="65"/>
      <c r="T633" s="65"/>
      <c r="U633" s="13"/>
    </row>
    <row r="634">
      <c r="B634" s="51"/>
      <c r="C634" s="62"/>
      <c r="D634" s="13"/>
      <c r="E634" s="64"/>
      <c r="F634" s="64"/>
      <c r="G634" s="64"/>
      <c r="H634" s="64"/>
      <c r="I634" s="13"/>
      <c r="J634" s="64"/>
      <c r="K634" s="63"/>
      <c r="L634" s="63"/>
      <c r="M634" s="64"/>
      <c r="N634" s="13"/>
      <c r="Q634" s="26" t="s">
        <v>422</v>
      </c>
      <c r="R634" s="26"/>
      <c r="S634" s="65"/>
      <c r="T634" s="65"/>
      <c r="U634" s="13"/>
    </row>
    <row r="635">
      <c r="B635" s="51"/>
      <c r="C635" s="62"/>
      <c r="D635" s="13"/>
      <c r="E635" s="64"/>
      <c r="F635" s="64"/>
      <c r="G635" s="64"/>
      <c r="H635" s="64"/>
      <c r="I635" s="13"/>
      <c r="J635" s="64"/>
      <c r="K635" s="63"/>
      <c r="L635" s="63"/>
      <c r="M635" s="64"/>
      <c r="N635" s="13"/>
      <c r="Q635" s="26" t="s">
        <v>422</v>
      </c>
      <c r="R635" s="26"/>
      <c r="S635" s="65"/>
      <c r="T635" s="65"/>
      <c r="U635" s="13"/>
    </row>
    <row r="636">
      <c r="B636" s="51"/>
      <c r="C636" s="62"/>
      <c r="D636" s="13"/>
      <c r="E636" s="64"/>
      <c r="F636" s="64"/>
      <c r="G636" s="64"/>
      <c r="H636" s="64"/>
      <c r="I636" s="13"/>
      <c r="J636" s="64"/>
      <c r="K636" s="63"/>
      <c r="L636" s="63"/>
      <c r="M636" s="64"/>
      <c r="N636" s="13"/>
      <c r="Q636" s="26" t="s">
        <v>422</v>
      </c>
      <c r="R636" s="26"/>
      <c r="S636" s="65"/>
      <c r="T636" s="65"/>
      <c r="U636" s="13"/>
    </row>
    <row r="637">
      <c r="B637" s="51"/>
      <c r="C637" s="62"/>
      <c r="D637" s="13"/>
      <c r="E637" s="64"/>
      <c r="F637" s="64"/>
      <c r="G637" s="64"/>
      <c r="H637" s="64"/>
      <c r="I637" s="13"/>
      <c r="J637" s="64"/>
      <c r="K637" s="63"/>
      <c r="L637" s="63"/>
      <c r="M637" s="64"/>
      <c r="N637" s="13"/>
      <c r="Q637" s="26" t="s">
        <v>422</v>
      </c>
      <c r="R637" s="26"/>
      <c r="S637" s="65"/>
      <c r="T637" s="65"/>
      <c r="U637" s="13"/>
    </row>
    <row r="638">
      <c r="B638" s="51"/>
      <c r="C638" s="62"/>
      <c r="D638" s="13"/>
      <c r="E638" s="64"/>
      <c r="F638" s="64"/>
      <c r="G638" s="64"/>
      <c r="H638" s="64"/>
      <c r="I638" s="13"/>
      <c r="J638" s="64"/>
      <c r="K638" s="63"/>
      <c r="L638" s="63"/>
      <c r="M638" s="64"/>
      <c r="N638" s="13"/>
      <c r="Q638" s="26" t="s">
        <v>422</v>
      </c>
      <c r="R638" s="26"/>
      <c r="S638" s="65"/>
      <c r="T638" s="65"/>
      <c r="U638" s="13"/>
    </row>
    <row r="639">
      <c r="B639" s="51"/>
      <c r="C639" s="62"/>
      <c r="D639" s="13"/>
      <c r="E639" s="64"/>
      <c r="F639" s="64"/>
      <c r="G639" s="64"/>
      <c r="H639" s="64"/>
      <c r="I639" s="13"/>
      <c r="J639" s="64"/>
      <c r="K639" s="63"/>
      <c r="L639" s="63"/>
      <c r="M639" s="64"/>
      <c r="N639" s="13"/>
      <c r="Q639" s="26" t="s">
        <v>422</v>
      </c>
      <c r="R639" s="26"/>
      <c r="S639" s="65"/>
      <c r="T639" s="65"/>
      <c r="U639" s="13"/>
    </row>
    <row r="640">
      <c r="B640" s="51"/>
      <c r="C640" s="62"/>
      <c r="D640" s="13"/>
      <c r="E640" s="64"/>
      <c r="F640" s="64"/>
      <c r="G640" s="64"/>
      <c r="H640" s="64"/>
      <c r="I640" s="13"/>
      <c r="J640" s="64"/>
      <c r="K640" s="63"/>
      <c r="L640" s="63"/>
      <c r="M640" s="64"/>
      <c r="N640" s="13"/>
      <c r="Q640" s="26" t="s">
        <v>422</v>
      </c>
      <c r="R640" s="26"/>
      <c r="S640" s="65"/>
      <c r="T640" s="65"/>
      <c r="U640" s="13"/>
    </row>
    <row r="641">
      <c r="B641" s="51"/>
      <c r="C641" s="62"/>
      <c r="D641" s="13"/>
      <c r="E641" s="64"/>
      <c r="F641" s="64"/>
      <c r="G641" s="64"/>
      <c r="H641" s="64"/>
      <c r="I641" s="13"/>
      <c r="J641" s="64"/>
      <c r="K641" s="63"/>
      <c r="L641" s="63"/>
      <c r="M641" s="64"/>
      <c r="N641" s="13"/>
      <c r="Q641" s="26" t="s">
        <v>422</v>
      </c>
      <c r="R641" s="26"/>
      <c r="S641" s="65"/>
      <c r="T641" s="65"/>
      <c r="U641" s="13"/>
    </row>
    <row r="642">
      <c r="B642" s="51"/>
      <c r="C642" s="62"/>
      <c r="D642" s="13"/>
      <c r="E642" s="64"/>
      <c r="F642" s="64"/>
      <c r="G642" s="64"/>
      <c r="H642" s="64"/>
      <c r="I642" s="13"/>
      <c r="J642" s="64"/>
      <c r="K642" s="63"/>
      <c r="L642" s="63"/>
      <c r="M642" s="64"/>
      <c r="N642" s="13"/>
      <c r="Q642" s="26" t="s">
        <v>422</v>
      </c>
      <c r="R642" s="26"/>
      <c r="S642" s="65"/>
      <c r="T642" s="65"/>
      <c r="U642" s="13"/>
    </row>
    <row r="643">
      <c r="B643" s="51"/>
      <c r="C643" s="62"/>
      <c r="D643" s="13"/>
      <c r="E643" s="64"/>
      <c r="F643" s="64"/>
      <c r="G643" s="64"/>
      <c r="H643" s="64"/>
      <c r="I643" s="13"/>
      <c r="J643" s="64"/>
      <c r="K643" s="63"/>
      <c r="L643" s="63"/>
      <c r="M643" s="64"/>
      <c r="N643" s="13"/>
      <c r="Q643" s="26" t="s">
        <v>422</v>
      </c>
      <c r="R643" s="26"/>
      <c r="S643" s="65"/>
      <c r="T643" s="65"/>
      <c r="U643" s="13"/>
    </row>
    <row r="644">
      <c r="B644" s="51"/>
      <c r="C644" s="62"/>
      <c r="D644" s="13"/>
      <c r="E644" s="64"/>
      <c r="F644" s="64"/>
      <c r="G644" s="64"/>
      <c r="H644" s="64"/>
      <c r="I644" s="13"/>
      <c r="J644" s="64"/>
      <c r="K644" s="63"/>
      <c r="L644" s="63"/>
      <c r="M644" s="64"/>
      <c r="N644" s="13"/>
      <c r="Q644" s="26" t="s">
        <v>422</v>
      </c>
      <c r="R644" s="26"/>
      <c r="S644" s="65"/>
      <c r="T644" s="65"/>
      <c r="U644" s="13"/>
    </row>
    <row r="645">
      <c r="B645" s="51"/>
      <c r="C645" s="62"/>
      <c r="D645" s="13"/>
      <c r="E645" s="64"/>
      <c r="F645" s="64"/>
      <c r="G645" s="64"/>
      <c r="H645" s="64"/>
      <c r="I645" s="13"/>
      <c r="J645" s="64"/>
      <c r="K645" s="63"/>
      <c r="L645" s="63"/>
      <c r="M645" s="64"/>
      <c r="N645" s="13"/>
      <c r="Q645" s="26" t="s">
        <v>422</v>
      </c>
      <c r="R645" s="26"/>
      <c r="S645" s="65"/>
      <c r="T645" s="65"/>
      <c r="U645" s="13"/>
    </row>
    <row r="646">
      <c r="B646" s="51"/>
      <c r="C646" s="62"/>
      <c r="D646" s="13"/>
      <c r="E646" s="64"/>
      <c r="F646" s="64"/>
      <c r="G646" s="64"/>
      <c r="H646" s="64"/>
      <c r="I646" s="13"/>
      <c r="J646" s="64"/>
      <c r="K646" s="63"/>
      <c r="L646" s="63"/>
      <c r="M646" s="64"/>
      <c r="N646" s="13"/>
      <c r="Q646" s="26" t="s">
        <v>422</v>
      </c>
      <c r="R646" s="26"/>
      <c r="S646" s="65"/>
      <c r="T646" s="65"/>
      <c r="U646" s="13"/>
    </row>
    <row r="647">
      <c r="B647" s="51"/>
      <c r="C647" s="62"/>
      <c r="D647" s="13"/>
      <c r="E647" s="64"/>
      <c r="F647" s="64"/>
      <c r="G647" s="64"/>
      <c r="H647" s="64"/>
      <c r="I647" s="13"/>
      <c r="J647" s="64"/>
      <c r="K647" s="63"/>
      <c r="L647" s="63"/>
      <c r="M647" s="64"/>
      <c r="N647" s="13"/>
      <c r="Q647" s="26" t="s">
        <v>422</v>
      </c>
      <c r="R647" s="26"/>
      <c r="S647" s="65"/>
      <c r="T647" s="65"/>
      <c r="U647" s="13"/>
    </row>
    <row r="648">
      <c r="B648" s="51"/>
      <c r="C648" s="62"/>
      <c r="D648" s="13"/>
      <c r="E648" s="64"/>
      <c r="F648" s="64"/>
      <c r="G648" s="64"/>
      <c r="H648" s="64"/>
      <c r="I648" s="13"/>
      <c r="J648" s="64"/>
      <c r="K648" s="63"/>
      <c r="L648" s="63"/>
      <c r="M648" s="64"/>
      <c r="N648" s="13"/>
      <c r="Q648" s="26" t="s">
        <v>422</v>
      </c>
      <c r="R648" s="26"/>
      <c r="S648" s="65"/>
      <c r="T648" s="65"/>
      <c r="U648" s="13"/>
    </row>
    <row r="649">
      <c r="B649" s="51"/>
      <c r="C649" s="62"/>
      <c r="D649" s="13"/>
      <c r="E649" s="64"/>
      <c r="F649" s="64"/>
      <c r="G649" s="64"/>
      <c r="H649" s="64"/>
      <c r="I649" s="13"/>
      <c r="J649" s="64"/>
      <c r="K649" s="63"/>
      <c r="L649" s="63"/>
      <c r="M649" s="64"/>
      <c r="N649" s="13"/>
      <c r="Q649" s="26" t="s">
        <v>422</v>
      </c>
      <c r="R649" s="26"/>
      <c r="S649" s="65"/>
      <c r="T649" s="65"/>
      <c r="U649" s="13"/>
    </row>
    <row r="650">
      <c r="B650" s="51"/>
      <c r="C650" s="62"/>
      <c r="D650" s="13"/>
      <c r="E650" s="64"/>
      <c r="F650" s="64"/>
      <c r="G650" s="64"/>
      <c r="H650" s="64"/>
      <c r="I650" s="13"/>
      <c r="J650" s="64"/>
      <c r="K650" s="63"/>
      <c r="L650" s="63"/>
      <c r="M650" s="64"/>
      <c r="N650" s="13"/>
      <c r="Q650" s="26" t="s">
        <v>422</v>
      </c>
      <c r="R650" s="26"/>
      <c r="S650" s="65"/>
      <c r="T650" s="65"/>
      <c r="U650" s="13"/>
    </row>
    <row r="651">
      <c r="B651" s="51"/>
      <c r="C651" s="62"/>
      <c r="D651" s="13"/>
      <c r="E651" s="64"/>
      <c r="F651" s="64"/>
      <c r="G651" s="64"/>
      <c r="H651" s="64"/>
      <c r="I651" s="13"/>
      <c r="J651" s="64"/>
      <c r="K651" s="63"/>
      <c r="L651" s="63"/>
      <c r="M651" s="64"/>
      <c r="N651" s="13"/>
      <c r="Q651" s="26" t="s">
        <v>422</v>
      </c>
      <c r="R651" s="26"/>
      <c r="S651" s="65"/>
      <c r="T651" s="65"/>
      <c r="U651" s="13"/>
    </row>
    <row r="652">
      <c r="B652" s="51"/>
      <c r="C652" s="62"/>
      <c r="D652" s="13"/>
      <c r="E652" s="64"/>
      <c r="F652" s="64"/>
      <c r="G652" s="64"/>
      <c r="H652" s="64"/>
      <c r="I652" s="13"/>
      <c r="J652" s="64"/>
      <c r="K652" s="63"/>
      <c r="L652" s="63"/>
      <c r="M652" s="64"/>
      <c r="N652" s="13"/>
      <c r="Q652" s="26" t="s">
        <v>422</v>
      </c>
      <c r="R652" s="26"/>
      <c r="S652" s="65"/>
      <c r="T652" s="65"/>
      <c r="U652" s="13"/>
    </row>
    <row r="653">
      <c r="B653" s="51"/>
      <c r="C653" s="62"/>
      <c r="D653" s="13"/>
      <c r="E653" s="64"/>
      <c r="F653" s="64"/>
      <c r="G653" s="64"/>
      <c r="H653" s="64"/>
      <c r="I653" s="13"/>
      <c r="J653" s="64"/>
      <c r="K653" s="63"/>
      <c r="L653" s="63"/>
      <c r="M653" s="64"/>
      <c r="N653" s="13"/>
      <c r="Q653" s="26" t="s">
        <v>422</v>
      </c>
      <c r="R653" s="26"/>
      <c r="S653" s="65"/>
      <c r="T653" s="65"/>
      <c r="U653" s="13"/>
    </row>
    <row r="654">
      <c r="B654" s="51"/>
      <c r="C654" s="62"/>
      <c r="D654" s="13"/>
      <c r="E654" s="64"/>
      <c r="F654" s="64"/>
      <c r="G654" s="64"/>
      <c r="H654" s="64"/>
      <c r="I654" s="13"/>
      <c r="J654" s="64"/>
      <c r="K654" s="63"/>
      <c r="L654" s="63"/>
      <c r="M654" s="64"/>
      <c r="N654" s="13"/>
      <c r="Q654" s="26" t="s">
        <v>422</v>
      </c>
      <c r="R654" s="26"/>
      <c r="S654" s="65"/>
      <c r="T654" s="65"/>
      <c r="U654" s="13"/>
    </row>
    <row r="655">
      <c r="B655" s="51"/>
      <c r="C655" s="62"/>
      <c r="D655" s="13"/>
      <c r="E655" s="64"/>
      <c r="F655" s="64"/>
      <c r="G655" s="64"/>
      <c r="H655" s="64"/>
      <c r="I655" s="13"/>
      <c r="J655" s="64"/>
      <c r="K655" s="63"/>
      <c r="L655" s="63"/>
      <c r="M655" s="64"/>
      <c r="N655" s="13"/>
      <c r="Q655" s="26" t="s">
        <v>422</v>
      </c>
      <c r="R655" s="26"/>
      <c r="S655" s="65"/>
      <c r="T655" s="65"/>
      <c r="U655" s="13"/>
    </row>
    <row r="656">
      <c r="B656" s="51"/>
      <c r="C656" s="62"/>
      <c r="D656" s="13"/>
      <c r="E656" s="64"/>
      <c r="F656" s="64"/>
      <c r="G656" s="64"/>
      <c r="H656" s="64"/>
      <c r="I656" s="13"/>
      <c r="J656" s="64"/>
      <c r="K656" s="63"/>
      <c r="L656" s="63"/>
      <c r="M656" s="64"/>
      <c r="N656" s="13"/>
      <c r="Q656" s="26" t="s">
        <v>422</v>
      </c>
      <c r="R656" s="26"/>
      <c r="S656" s="65"/>
      <c r="T656" s="65"/>
      <c r="U656" s="13"/>
    </row>
    <row r="657">
      <c r="B657" s="51"/>
      <c r="C657" s="62"/>
      <c r="D657" s="13"/>
      <c r="E657" s="64"/>
      <c r="F657" s="64"/>
      <c r="G657" s="64"/>
      <c r="H657" s="64"/>
      <c r="I657" s="13"/>
      <c r="J657" s="64"/>
      <c r="K657" s="63"/>
      <c r="L657" s="63"/>
      <c r="M657" s="64"/>
      <c r="N657" s="13"/>
      <c r="Q657" s="26" t="s">
        <v>422</v>
      </c>
      <c r="R657" s="26"/>
      <c r="S657" s="65"/>
      <c r="T657" s="65"/>
      <c r="U657" s="13"/>
    </row>
    <row r="658">
      <c r="B658" s="51"/>
      <c r="C658" s="62"/>
      <c r="D658" s="13"/>
      <c r="E658" s="64"/>
      <c r="F658" s="64"/>
      <c r="G658" s="64"/>
      <c r="H658" s="64"/>
      <c r="I658" s="13"/>
      <c r="J658" s="64"/>
      <c r="K658" s="63"/>
      <c r="L658" s="63"/>
      <c r="M658" s="64"/>
      <c r="N658" s="13"/>
      <c r="Q658" s="26" t="s">
        <v>422</v>
      </c>
      <c r="R658" s="26"/>
      <c r="S658" s="65"/>
      <c r="T658" s="65"/>
      <c r="U658" s="13"/>
    </row>
    <row r="659">
      <c r="B659" s="51"/>
      <c r="C659" s="62"/>
      <c r="D659" s="13"/>
      <c r="E659" s="64"/>
      <c r="F659" s="64"/>
      <c r="G659" s="64"/>
      <c r="H659" s="64"/>
      <c r="I659" s="13"/>
      <c r="J659" s="64"/>
      <c r="K659" s="63"/>
      <c r="L659" s="63"/>
      <c r="M659" s="64"/>
      <c r="N659" s="13"/>
      <c r="Q659" s="26" t="s">
        <v>422</v>
      </c>
      <c r="R659" s="26"/>
      <c r="S659" s="65"/>
      <c r="T659" s="65"/>
      <c r="U659" s="13"/>
    </row>
    <row r="660">
      <c r="B660" s="51"/>
      <c r="C660" s="62"/>
      <c r="D660" s="13"/>
      <c r="E660" s="64"/>
      <c r="F660" s="64"/>
      <c r="G660" s="64"/>
      <c r="H660" s="64"/>
      <c r="I660" s="13"/>
      <c r="J660" s="64"/>
      <c r="K660" s="63"/>
      <c r="L660" s="63"/>
      <c r="M660" s="64"/>
      <c r="N660" s="13"/>
      <c r="Q660" s="26" t="s">
        <v>422</v>
      </c>
      <c r="R660" s="26"/>
      <c r="S660" s="65"/>
      <c r="T660" s="65"/>
      <c r="U660" s="13"/>
    </row>
    <row r="661">
      <c r="B661" s="51"/>
      <c r="C661" s="62"/>
      <c r="D661" s="13"/>
      <c r="E661" s="64"/>
      <c r="F661" s="64"/>
      <c r="G661" s="64"/>
      <c r="H661" s="64"/>
      <c r="I661" s="13"/>
      <c r="J661" s="64"/>
      <c r="K661" s="63"/>
      <c r="L661" s="63"/>
      <c r="M661" s="64"/>
      <c r="N661" s="13"/>
      <c r="Q661" s="26" t="s">
        <v>422</v>
      </c>
      <c r="R661" s="26"/>
      <c r="S661" s="65"/>
      <c r="T661" s="65"/>
      <c r="U661" s="13"/>
    </row>
    <row r="662">
      <c r="B662" s="51"/>
      <c r="C662" s="62"/>
      <c r="D662" s="13"/>
      <c r="E662" s="64"/>
      <c r="F662" s="64"/>
      <c r="G662" s="64"/>
      <c r="H662" s="64"/>
      <c r="I662" s="13"/>
      <c r="J662" s="64"/>
      <c r="K662" s="63"/>
      <c r="L662" s="63"/>
      <c r="M662" s="64"/>
      <c r="N662" s="13"/>
      <c r="Q662" s="26" t="s">
        <v>422</v>
      </c>
      <c r="R662" s="26"/>
      <c r="S662" s="65"/>
      <c r="T662" s="65"/>
      <c r="U662" s="13"/>
    </row>
    <row r="663">
      <c r="B663" s="51"/>
      <c r="C663" s="62"/>
      <c r="D663" s="13"/>
      <c r="E663" s="64"/>
      <c r="F663" s="64"/>
      <c r="G663" s="64"/>
      <c r="H663" s="64"/>
      <c r="I663" s="13"/>
      <c r="J663" s="64"/>
      <c r="K663" s="63"/>
      <c r="L663" s="63"/>
      <c r="M663" s="64"/>
      <c r="N663" s="13"/>
      <c r="Q663" s="26" t="s">
        <v>422</v>
      </c>
      <c r="R663" s="26"/>
      <c r="S663" s="65"/>
      <c r="T663" s="65"/>
      <c r="U663" s="13"/>
    </row>
    <row r="664">
      <c r="B664" s="51"/>
      <c r="C664" s="62"/>
      <c r="D664" s="13"/>
      <c r="E664" s="64"/>
      <c r="F664" s="64"/>
      <c r="G664" s="64"/>
      <c r="H664" s="64"/>
      <c r="I664" s="13"/>
      <c r="J664" s="64"/>
      <c r="K664" s="63"/>
      <c r="L664" s="63"/>
      <c r="M664" s="64"/>
      <c r="N664" s="13"/>
      <c r="Q664" s="26" t="s">
        <v>422</v>
      </c>
      <c r="R664" s="26"/>
      <c r="S664" s="65"/>
      <c r="T664" s="65"/>
      <c r="U664" s="13"/>
    </row>
    <row r="665">
      <c r="B665" s="51"/>
      <c r="C665" s="62"/>
      <c r="D665" s="13"/>
      <c r="E665" s="64"/>
      <c r="F665" s="64"/>
      <c r="G665" s="64"/>
      <c r="H665" s="64"/>
      <c r="I665" s="13"/>
      <c r="J665" s="64"/>
      <c r="K665" s="63"/>
      <c r="L665" s="63"/>
      <c r="M665" s="64"/>
      <c r="N665" s="13"/>
      <c r="Q665" s="26" t="s">
        <v>422</v>
      </c>
      <c r="R665" s="26"/>
      <c r="S665" s="65"/>
      <c r="T665" s="65"/>
      <c r="U665" s="13"/>
    </row>
    <row r="666">
      <c r="B666" s="51"/>
      <c r="C666" s="62"/>
      <c r="D666" s="13"/>
      <c r="E666" s="64"/>
      <c r="F666" s="64"/>
      <c r="G666" s="64"/>
      <c r="H666" s="64"/>
      <c r="I666" s="13"/>
      <c r="J666" s="64"/>
      <c r="K666" s="63"/>
      <c r="L666" s="63"/>
      <c r="M666" s="64"/>
      <c r="N666" s="13"/>
      <c r="Q666" s="26" t="s">
        <v>422</v>
      </c>
      <c r="R666" s="26"/>
      <c r="S666" s="65"/>
      <c r="T666" s="65"/>
      <c r="U666" s="13"/>
    </row>
    <row r="667">
      <c r="B667" s="51"/>
      <c r="C667" s="62"/>
      <c r="D667" s="13"/>
      <c r="E667" s="64"/>
      <c r="F667" s="64"/>
      <c r="G667" s="64"/>
      <c r="H667" s="64"/>
      <c r="I667" s="13"/>
      <c r="J667" s="64"/>
      <c r="K667" s="63"/>
      <c r="L667" s="63"/>
      <c r="M667" s="64"/>
      <c r="N667" s="13"/>
      <c r="Q667" s="26" t="s">
        <v>422</v>
      </c>
      <c r="R667" s="26"/>
      <c r="S667" s="65"/>
      <c r="T667" s="65"/>
      <c r="U667" s="13"/>
    </row>
    <row r="668">
      <c r="B668" s="51"/>
      <c r="C668" s="62"/>
      <c r="D668" s="13"/>
      <c r="E668" s="64"/>
      <c r="F668" s="64"/>
      <c r="G668" s="64"/>
      <c r="H668" s="64"/>
      <c r="I668" s="13"/>
      <c r="J668" s="64"/>
      <c r="K668" s="63"/>
      <c r="L668" s="63"/>
      <c r="M668" s="64"/>
      <c r="N668" s="13"/>
      <c r="Q668" s="26" t="s">
        <v>422</v>
      </c>
      <c r="R668" s="26"/>
      <c r="S668" s="65"/>
      <c r="T668" s="65"/>
      <c r="U668" s="13"/>
    </row>
    <row r="669">
      <c r="B669" s="51"/>
      <c r="C669" s="62"/>
      <c r="D669" s="13"/>
      <c r="E669" s="64"/>
      <c r="F669" s="64"/>
      <c r="G669" s="64"/>
      <c r="H669" s="64"/>
      <c r="I669" s="13"/>
      <c r="J669" s="64"/>
      <c r="K669" s="63"/>
      <c r="L669" s="63"/>
      <c r="M669" s="64"/>
      <c r="N669" s="13"/>
      <c r="Q669" s="26" t="s">
        <v>422</v>
      </c>
      <c r="R669" s="26"/>
      <c r="S669" s="65"/>
      <c r="T669" s="65"/>
      <c r="U669" s="13"/>
    </row>
    <row r="670">
      <c r="B670" s="51"/>
      <c r="C670" s="62"/>
      <c r="D670" s="13"/>
      <c r="E670" s="64"/>
      <c r="F670" s="64"/>
      <c r="G670" s="64"/>
      <c r="H670" s="64"/>
      <c r="I670" s="13"/>
      <c r="J670" s="64"/>
      <c r="K670" s="63"/>
      <c r="L670" s="63"/>
      <c r="M670" s="64"/>
      <c r="N670" s="13"/>
      <c r="Q670" s="26" t="s">
        <v>422</v>
      </c>
      <c r="R670" s="26"/>
      <c r="S670" s="65"/>
      <c r="T670" s="65"/>
      <c r="U670" s="13"/>
    </row>
    <row r="671">
      <c r="B671" s="51"/>
      <c r="C671" s="62"/>
      <c r="D671" s="13"/>
      <c r="E671" s="64"/>
      <c r="F671" s="64"/>
      <c r="G671" s="64"/>
      <c r="H671" s="64"/>
      <c r="I671" s="13"/>
      <c r="J671" s="64"/>
      <c r="K671" s="63"/>
      <c r="L671" s="63"/>
      <c r="M671" s="64"/>
      <c r="N671" s="13"/>
      <c r="Q671" s="26" t="s">
        <v>422</v>
      </c>
      <c r="R671" s="26"/>
      <c r="S671" s="65"/>
      <c r="T671" s="65"/>
      <c r="U671" s="13"/>
    </row>
    <row r="672">
      <c r="B672" s="51"/>
      <c r="C672" s="62"/>
      <c r="D672" s="13"/>
      <c r="E672" s="64"/>
      <c r="F672" s="64"/>
      <c r="G672" s="64"/>
      <c r="H672" s="64"/>
      <c r="I672" s="13"/>
      <c r="J672" s="64"/>
      <c r="K672" s="63"/>
      <c r="L672" s="63"/>
      <c r="M672" s="64"/>
      <c r="N672" s="13"/>
      <c r="Q672" s="26" t="s">
        <v>422</v>
      </c>
      <c r="R672" s="26"/>
      <c r="S672" s="65"/>
      <c r="T672" s="65"/>
      <c r="U672" s="13"/>
    </row>
    <row r="673">
      <c r="B673" s="51"/>
      <c r="C673" s="62"/>
      <c r="D673" s="13"/>
      <c r="E673" s="64"/>
      <c r="F673" s="64"/>
      <c r="G673" s="64"/>
      <c r="H673" s="64"/>
      <c r="I673" s="13"/>
      <c r="J673" s="64"/>
      <c r="K673" s="63"/>
      <c r="L673" s="63"/>
      <c r="M673" s="64"/>
      <c r="N673" s="13"/>
      <c r="Q673" s="26" t="s">
        <v>422</v>
      </c>
      <c r="R673" s="26"/>
      <c r="S673" s="65"/>
      <c r="T673" s="65"/>
      <c r="U673" s="13"/>
    </row>
    <row r="674">
      <c r="B674" s="51"/>
      <c r="C674" s="62"/>
      <c r="D674" s="13"/>
      <c r="E674" s="64"/>
      <c r="F674" s="64"/>
      <c r="G674" s="64"/>
      <c r="H674" s="64"/>
      <c r="I674" s="13"/>
      <c r="J674" s="64"/>
      <c r="K674" s="63"/>
      <c r="L674" s="63"/>
      <c r="M674" s="64"/>
      <c r="N674" s="13"/>
      <c r="Q674" s="26" t="s">
        <v>422</v>
      </c>
      <c r="R674" s="26"/>
      <c r="S674" s="65"/>
      <c r="T674" s="65"/>
      <c r="U674" s="13"/>
    </row>
    <row r="675">
      <c r="B675" s="51"/>
      <c r="C675" s="62"/>
      <c r="D675" s="13"/>
      <c r="E675" s="64"/>
      <c r="F675" s="64"/>
      <c r="G675" s="64"/>
      <c r="H675" s="64"/>
      <c r="I675" s="13"/>
      <c r="J675" s="64"/>
      <c r="K675" s="63"/>
      <c r="L675" s="63"/>
      <c r="M675" s="64"/>
      <c r="N675" s="13"/>
      <c r="Q675" s="26" t="s">
        <v>422</v>
      </c>
      <c r="R675" s="26"/>
      <c r="S675" s="65"/>
      <c r="T675" s="65"/>
      <c r="U675" s="13"/>
    </row>
    <row r="676">
      <c r="B676" s="51"/>
      <c r="C676" s="62"/>
      <c r="D676" s="13"/>
      <c r="E676" s="64"/>
      <c r="F676" s="64"/>
      <c r="G676" s="64"/>
      <c r="H676" s="64"/>
      <c r="I676" s="13"/>
      <c r="J676" s="64"/>
      <c r="K676" s="63"/>
      <c r="L676" s="63"/>
      <c r="M676" s="64"/>
      <c r="N676" s="13"/>
      <c r="Q676" s="26" t="s">
        <v>422</v>
      </c>
      <c r="R676" s="26"/>
      <c r="S676" s="65"/>
      <c r="T676" s="65"/>
      <c r="U676" s="13"/>
    </row>
    <row r="677">
      <c r="B677" s="51"/>
      <c r="C677" s="62"/>
      <c r="D677" s="13"/>
      <c r="E677" s="64"/>
      <c r="F677" s="64"/>
      <c r="G677" s="64"/>
      <c r="H677" s="64"/>
      <c r="I677" s="13"/>
      <c r="J677" s="64"/>
      <c r="K677" s="63"/>
      <c r="L677" s="63"/>
      <c r="M677" s="64"/>
      <c r="N677" s="13"/>
      <c r="Q677" s="26" t="s">
        <v>422</v>
      </c>
      <c r="R677" s="26"/>
      <c r="S677" s="65"/>
      <c r="T677" s="65"/>
      <c r="U677" s="13"/>
    </row>
    <row r="678">
      <c r="B678" s="51"/>
      <c r="C678" s="62"/>
      <c r="D678" s="13"/>
      <c r="E678" s="64"/>
      <c r="F678" s="64"/>
      <c r="G678" s="64"/>
      <c r="H678" s="64"/>
      <c r="I678" s="13"/>
      <c r="J678" s="64"/>
      <c r="K678" s="63"/>
      <c r="L678" s="63"/>
      <c r="M678" s="64"/>
      <c r="N678" s="13"/>
      <c r="Q678" s="26" t="s">
        <v>422</v>
      </c>
      <c r="R678" s="26"/>
      <c r="S678" s="65"/>
      <c r="T678" s="65"/>
      <c r="U678" s="13"/>
    </row>
    <row r="679">
      <c r="B679" s="51"/>
      <c r="C679" s="62"/>
      <c r="D679" s="13"/>
      <c r="E679" s="64"/>
      <c r="F679" s="64"/>
      <c r="G679" s="64"/>
      <c r="H679" s="64"/>
      <c r="I679" s="13"/>
      <c r="J679" s="64"/>
      <c r="K679" s="63"/>
      <c r="L679" s="63"/>
      <c r="M679" s="64"/>
      <c r="N679" s="13"/>
      <c r="Q679" s="26" t="s">
        <v>422</v>
      </c>
      <c r="R679" s="26"/>
      <c r="S679" s="65"/>
      <c r="T679" s="65"/>
      <c r="U679" s="13"/>
    </row>
    <row r="680">
      <c r="B680" s="51"/>
      <c r="C680" s="62"/>
      <c r="D680" s="13"/>
      <c r="E680" s="64"/>
      <c r="F680" s="64"/>
      <c r="G680" s="64"/>
      <c r="H680" s="64"/>
      <c r="I680" s="13"/>
      <c r="J680" s="64"/>
      <c r="K680" s="63"/>
      <c r="L680" s="63"/>
      <c r="M680" s="64"/>
      <c r="N680" s="13"/>
      <c r="Q680" s="26" t="s">
        <v>422</v>
      </c>
      <c r="R680" s="26"/>
      <c r="S680" s="65"/>
      <c r="T680" s="65"/>
      <c r="U680" s="13"/>
    </row>
    <row r="681">
      <c r="B681" s="51"/>
      <c r="C681" s="62"/>
      <c r="D681" s="13"/>
      <c r="E681" s="64"/>
      <c r="F681" s="64"/>
      <c r="G681" s="64"/>
      <c r="H681" s="64"/>
      <c r="I681" s="13"/>
      <c r="J681" s="64"/>
      <c r="K681" s="63"/>
      <c r="L681" s="63"/>
      <c r="M681" s="64"/>
      <c r="N681" s="13"/>
      <c r="Q681" s="26" t="s">
        <v>422</v>
      </c>
      <c r="R681" s="26"/>
      <c r="S681" s="65"/>
      <c r="T681" s="65"/>
      <c r="U681" s="13"/>
    </row>
    <row r="682">
      <c r="B682" s="51"/>
      <c r="C682" s="62"/>
      <c r="D682" s="13"/>
      <c r="E682" s="64"/>
      <c r="F682" s="64"/>
      <c r="G682" s="64"/>
      <c r="H682" s="64"/>
      <c r="I682" s="13"/>
      <c r="J682" s="64"/>
      <c r="K682" s="63"/>
      <c r="L682" s="63"/>
      <c r="M682" s="64"/>
      <c r="N682" s="13"/>
      <c r="Q682" s="26" t="s">
        <v>422</v>
      </c>
      <c r="R682" s="26"/>
      <c r="S682" s="65"/>
      <c r="T682" s="65"/>
      <c r="U682" s="13"/>
    </row>
    <row r="683">
      <c r="B683" s="51"/>
      <c r="C683" s="62"/>
      <c r="D683" s="13"/>
      <c r="E683" s="64"/>
      <c r="F683" s="64"/>
      <c r="G683" s="64"/>
      <c r="H683" s="64"/>
      <c r="I683" s="13"/>
      <c r="J683" s="64"/>
      <c r="K683" s="63"/>
      <c r="L683" s="63"/>
      <c r="M683" s="64"/>
      <c r="N683" s="13"/>
      <c r="Q683" s="26" t="s">
        <v>422</v>
      </c>
      <c r="R683" s="26"/>
      <c r="S683" s="65"/>
      <c r="T683" s="65"/>
      <c r="U683" s="13"/>
    </row>
    <row r="684">
      <c r="B684" s="51"/>
      <c r="C684" s="62"/>
      <c r="D684" s="13"/>
      <c r="E684" s="64"/>
      <c r="F684" s="64"/>
      <c r="G684" s="64"/>
      <c r="H684" s="64"/>
      <c r="I684" s="13"/>
      <c r="J684" s="64"/>
      <c r="K684" s="63"/>
      <c r="L684" s="63"/>
      <c r="M684" s="64"/>
      <c r="N684" s="13"/>
      <c r="Q684" s="26" t="s">
        <v>422</v>
      </c>
      <c r="R684" s="26"/>
      <c r="S684" s="65"/>
      <c r="T684" s="65"/>
      <c r="U684" s="13"/>
    </row>
    <row r="685">
      <c r="B685" s="51"/>
      <c r="C685" s="62"/>
      <c r="D685" s="13"/>
      <c r="E685" s="64"/>
      <c r="F685" s="64"/>
      <c r="G685" s="64"/>
      <c r="H685" s="64"/>
      <c r="I685" s="13"/>
      <c r="J685" s="64"/>
      <c r="K685" s="63"/>
      <c r="L685" s="63"/>
      <c r="M685" s="64"/>
      <c r="N685" s="13"/>
      <c r="Q685" s="26" t="s">
        <v>422</v>
      </c>
      <c r="R685" s="26"/>
      <c r="S685" s="65"/>
      <c r="T685" s="65"/>
      <c r="U685" s="13"/>
    </row>
    <row r="686">
      <c r="B686" s="51"/>
      <c r="C686" s="62"/>
      <c r="D686" s="13"/>
      <c r="E686" s="64"/>
      <c r="F686" s="64"/>
      <c r="G686" s="64"/>
      <c r="H686" s="64"/>
      <c r="I686" s="13"/>
      <c r="J686" s="64"/>
      <c r="K686" s="63"/>
      <c r="L686" s="63"/>
      <c r="M686" s="64"/>
      <c r="N686" s="13"/>
      <c r="Q686" s="26" t="s">
        <v>422</v>
      </c>
      <c r="R686" s="26"/>
      <c r="S686" s="65"/>
      <c r="T686" s="65"/>
      <c r="U686" s="13"/>
    </row>
    <row r="687">
      <c r="B687" s="51"/>
      <c r="C687" s="62"/>
      <c r="D687" s="13"/>
      <c r="E687" s="64"/>
      <c r="F687" s="64"/>
      <c r="G687" s="64"/>
      <c r="H687" s="64"/>
      <c r="I687" s="13"/>
      <c r="J687" s="64"/>
      <c r="K687" s="63"/>
      <c r="L687" s="63"/>
      <c r="M687" s="64"/>
      <c r="N687" s="13"/>
      <c r="Q687" s="26" t="s">
        <v>422</v>
      </c>
      <c r="R687" s="26"/>
      <c r="S687" s="65"/>
      <c r="T687" s="65"/>
      <c r="U687" s="13"/>
    </row>
    <row r="688">
      <c r="B688" s="51"/>
      <c r="C688" s="62"/>
      <c r="D688" s="13"/>
      <c r="E688" s="64"/>
      <c r="F688" s="64"/>
      <c r="G688" s="64"/>
      <c r="H688" s="64"/>
      <c r="I688" s="13"/>
      <c r="J688" s="64"/>
      <c r="K688" s="63"/>
      <c r="L688" s="63"/>
      <c r="M688" s="64"/>
      <c r="N688" s="13"/>
      <c r="Q688" s="26" t="s">
        <v>422</v>
      </c>
      <c r="R688" s="26"/>
      <c r="S688" s="65"/>
      <c r="T688" s="65"/>
      <c r="U688" s="13"/>
    </row>
    <row r="689">
      <c r="B689" s="51"/>
      <c r="C689" s="62"/>
      <c r="D689" s="13"/>
      <c r="E689" s="64"/>
      <c r="F689" s="64"/>
      <c r="G689" s="64"/>
      <c r="H689" s="64"/>
      <c r="I689" s="13"/>
      <c r="J689" s="64"/>
      <c r="K689" s="63"/>
      <c r="L689" s="63"/>
      <c r="M689" s="64"/>
      <c r="N689" s="13"/>
      <c r="Q689" s="26" t="s">
        <v>422</v>
      </c>
      <c r="R689" s="26"/>
      <c r="S689" s="65"/>
      <c r="T689" s="65"/>
      <c r="U689" s="13"/>
    </row>
    <row r="690">
      <c r="B690" s="51"/>
      <c r="C690" s="62"/>
      <c r="D690" s="13"/>
      <c r="E690" s="64"/>
      <c r="F690" s="64"/>
      <c r="G690" s="64"/>
      <c r="H690" s="64"/>
      <c r="I690" s="13"/>
      <c r="J690" s="64"/>
      <c r="K690" s="63"/>
      <c r="L690" s="63"/>
      <c r="M690" s="64"/>
      <c r="N690" s="13"/>
      <c r="Q690" s="26" t="s">
        <v>422</v>
      </c>
      <c r="R690" s="26"/>
      <c r="S690" s="65"/>
      <c r="T690" s="65"/>
      <c r="U690" s="13"/>
    </row>
    <row r="691">
      <c r="B691" s="51"/>
      <c r="C691" s="62"/>
      <c r="D691" s="13"/>
      <c r="E691" s="64"/>
      <c r="F691" s="64"/>
      <c r="G691" s="64"/>
      <c r="H691" s="64"/>
      <c r="I691" s="13"/>
      <c r="J691" s="64"/>
      <c r="K691" s="63"/>
      <c r="L691" s="63"/>
      <c r="M691" s="64"/>
      <c r="N691" s="13"/>
      <c r="Q691" s="26" t="s">
        <v>422</v>
      </c>
      <c r="R691" s="26"/>
      <c r="S691" s="65"/>
      <c r="T691" s="65"/>
      <c r="U691" s="13"/>
    </row>
    <row r="692">
      <c r="B692" s="51"/>
      <c r="C692" s="62"/>
      <c r="D692" s="13"/>
      <c r="E692" s="64"/>
      <c r="F692" s="64"/>
      <c r="G692" s="64"/>
      <c r="H692" s="64"/>
      <c r="I692" s="13"/>
      <c r="J692" s="64"/>
      <c r="K692" s="63"/>
      <c r="L692" s="63"/>
      <c r="M692" s="64"/>
      <c r="N692" s="13"/>
      <c r="Q692" s="26" t="s">
        <v>422</v>
      </c>
      <c r="R692" s="26"/>
      <c r="S692" s="65"/>
      <c r="T692" s="65"/>
      <c r="U692" s="13"/>
    </row>
    <row r="693">
      <c r="B693" s="51"/>
      <c r="C693" s="62"/>
      <c r="D693" s="13"/>
      <c r="E693" s="64"/>
      <c r="F693" s="64"/>
      <c r="G693" s="64"/>
      <c r="H693" s="64"/>
      <c r="I693" s="13"/>
      <c r="J693" s="64"/>
      <c r="K693" s="63"/>
      <c r="L693" s="63"/>
      <c r="M693" s="64"/>
      <c r="N693" s="13"/>
      <c r="Q693" s="26" t="s">
        <v>422</v>
      </c>
      <c r="R693" s="26"/>
      <c r="S693" s="65"/>
      <c r="T693" s="65"/>
      <c r="U693" s="13"/>
    </row>
    <row r="694">
      <c r="B694" s="51"/>
      <c r="C694" s="62"/>
      <c r="D694" s="13"/>
      <c r="E694" s="64"/>
      <c r="F694" s="64"/>
      <c r="G694" s="64"/>
      <c r="H694" s="64"/>
      <c r="I694" s="13"/>
      <c r="J694" s="64"/>
      <c r="K694" s="63"/>
      <c r="L694" s="63"/>
      <c r="M694" s="64"/>
      <c r="N694" s="13"/>
      <c r="Q694" s="26" t="s">
        <v>422</v>
      </c>
      <c r="R694" s="26"/>
      <c r="S694" s="65"/>
      <c r="T694" s="65"/>
      <c r="U694" s="13"/>
    </row>
    <row r="695">
      <c r="B695" s="51"/>
      <c r="C695" s="62"/>
      <c r="D695" s="13"/>
      <c r="E695" s="64"/>
      <c r="F695" s="64"/>
      <c r="G695" s="64"/>
      <c r="H695" s="64"/>
      <c r="I695" s="13"/>
      <c r="J695" s="64"/>
      <c r="K695" s="63"/>
      <c r="L695" s="63"/>
      <c r="M695" s="64"/>
      <c r="N695" s="13"/>
      <c r="Q695" s="26" t="s">
        <v>422</v>
      </c>
      <c r="R695" s="26"/>
      <c r="S695" s="65"/>
      <c r="T695" s="65"/>
      <c r="U695" s="13"/>
    </row>
    <row r="696">
      <c r="B696" s="51"/>
      <c r="C696" s="62"/>
      <c r="D696" s="13"/>
      <c r="E696" s="64"/>
      <c r="F696" s="64"/>
      <c r="G696" s="64"/>
      <c r="H696" s="64"/>
      <c r="I696" s="13"/>
      <c r="J696" s="64"/>
      <c r="K696" s="63"/>
      <c r="L696" s="63"/>
      <c r="M696" s="64"/>
      <c r="N696" s="13"/>
      <c r="Q696" s="26" t="s">
        <v>422</v>
      </c>
      <c r="R696" s="26"/>
      <c r="S696" s="65"/>
      <c r="T696" s="65"/>
      <c r="U696" s="13"/>
    </row>
    <row r="697">
      <c r="B697" s="51"/>
      <c r="C697" s="62"/>
      <c r="D697" s="13"/>
      <c r="E697" s="64"/>
      <c r="F697" s="64"/>
      <c r="G697" s="64"/>
      <c r="H697" s="64"/>
      <c r="I697" s="13"/>
      <c r="J697" s="64"/>
      <c r="K697" s="63"/>
      <c r="L697" s="63"/>
      <c r="M697" s="64"/>
      <c r="N697" s="13"/>
      <c r="Q697" s="26" t="s">
        <v>422</v>
      </c>
      <c r="R697" s="26"/>
      <c r="S697" s="65"/>
      <c r="T697" s="65"/>
      <c r="U697" s="13"/>
    </row>
    <row r="698">
      <c r="B698" s="51"/>
      <c r="C698" s="62"/>
      <c r="D698" s="13"/>
      <c r="E698" s="64"/>
      <c r="F698" s="64"/>
      <c r="G698" s="64"/>
      <c r="H698" s="64"/>
      <c r="I698" s="13"/>
      <c r="J698" s="64"/>
      <c r="K698" s="63"/>
      <c r="L698" s="63"/>
      <c r="M698" s="64"/>
      <c r="N698" s="13"/>
      <c r="Q698" s="26" t="s">
        <v>422</v>
      </c>
      <c r="R698" s="26"/>
      <c r="S698" s="65"/>
      <c r="T698" s="65"/>
      <c r="U698" s="13"/>
    </row>
    <row r="699">
      <c r="B699" s="51"/>
      <c r="C699" s="62"/>
      <c r="D699" s="13"/>
      <c r="E699" s="64"/>
      <c r="F699" s="64"/>
      <c r="G699" s="64"/>
      <c r="H699" s="64"/>
      <c r="I699" s="13"/>
      <c r="J699" s="64"/>
      <c r="K699" s="63"/>
      <c r="L699" s="63"/>
      <c r="M699" s="64"/>
      <c r="N699" s="13"/>
      <c r="Q699" s="26" t="s">
        <v>422</v>
      </c>
      <c r="R699" s="26"/>
      <c r="S699" s="65"/>
      <c r="T699" s="65"/>
      <c r="U699" s="13"/>
    </row>
    <row r="700">
      <c r="B700" s="51"/>
      <c r="C700" s="62"/>
      <c r="D700" s="13"/>
      <c r="E700" s="64"/>
      <c r="F700" s="64"/>
      <c r="G700" s="64"/>
      <c r="H700" s="64"/>
      <c r="I700" s="13"/>
      <c r="J700" s="64"/>
      <c r="K700" s="63"/>
      <c r="L700" s="63"/>
      <c r="M700" s="64"/>
      <c r="N700" s="13"/>
      <c r="Q700" s="26" t="s">
        <v>422</v>
      </c>
      <c r="R700" s="26"/>
      <c r="S700" s="65"/>
      <c r="T700" s="65"/>
      <c r="U700" s="13"/>
    </row>
    <row r="701">
      <c r="B701" s="51"/>
      <c r="C701" s="62"/>
      <c r="D701" s="13"/>
      <c r="E701" s="64"/>
      <c r="F701" s="64"/>
      <c r="G701" s="64"/>
      <c r="H701" s="64"/>
      <c r="I701" s="13"/>
      <c r="J701" s="64"/>
      <c r="K701" s="63"/>
      <c r="L701" s="63"/>
      <c r="M701" s="64"/>
      <c r="N701" s="13"/>
      <c r="Q701" s="26" t="s">
        <v>422</v>
      </c>
      <c r="R701" s="26"/>
      <c r="S701" s="65"/>
      <c r="T701" s="65"/>
      <c r="U701" s="13"/>
    </row>
    <row r="702">
      <c r="B702" s="51"/>
      <c r="C702" s="62"/>
      <c r="D702" s="13"/>
      <c r="E702" s="64"/>
      <c r="F702" s="64"/>
      <c r="G702" s="64"/>
      <c r="H702" s="64"/>
      <c r="I702" s="13"/>
      <c r="J702" s="64"/>
      <c r="K702" s="63"/>
      <c r="L702" s="63"/>
      <c r="M702" s="64"/>
      <c r="N702" s="13"/>
      <c r="Q702" s="26" t="s">
        <v>422</v>
      </c>
      <c r="R702" s="26"/>
      <c r="S702" s="65"/>
      <c r="T702" s="65"/>
      <c r="U702" s="13"/>
    </row>
    <row r="703">
      <c r="B703" s="51"/>
      <c r="C703" s="62"/>
      <c r="D703" s="13"/>
      <c r="E703" s="64"/>
      <c r="F703" s="64"/>
      <c r="G703" s="64"/>
      <c r="H703" s="64"/>
      <c r="I703" s="13"/>
      <c r="J703" s="64"/>
      <c r="K703" s="63"/>
      <c r="L703" s="63"/>
      <c r="M703" s="64"/>
      <c r="N703" s="13"/>
      <c r="Q703" s="26" t="s">
        <v>422</v>
      </c>
      <c r="R703" s="26"/>
      <c r="S703" s="65"/>
      <c r="T703" s="65"/>
      <c r="U703" s="13"/>
    </row>
    <row r="704">
      <c r="B704" s="51"/>
      <c r="C704" s="62"/>
      <c r="D704" s="13"/>
      <c r="E704" s="64"/>
      <c r="F704" s="64"/>
      <c r="G704" s="64"/>
      <c r="H704" s="64"/>
      <c r="I704" s="13"/>
      <c r="J704" s="64"/>
      <c r="K704" s="63"/>
      <c r="L704" s="63"/>
      <c r="M704" s="64"/>
      <c r="N704" s="13"/>
      <c r="Q704" s="26" t="s">
        <v>422</v>
      </c>
      <c r="R704" s="26"/>
      <c r="S704" s="65"/>
      <c r="T704" s="65"/>
      <c r="U704" s="13"/>
    </row>
    <row r="705">
      <c r="B705" s="51"/>
      <c r="C705" s="62"/>
      <c r="D705" s="13"/>
      <c r="E705" s="64"/>
      <c r="F705" s="64"/>
      <c r="G705" s="64"/>
      <c r="H705" s="64"/>
      <c r="I705" s="13"/>
      <c r="J705" s="64"/>
      <c r="K705" s="63"/>
      <c r="L705" s="63"/>
      <c r="M705" s="64"/>
      <c r="N705" s="13"/>
      <c r="Q705" s="26" t="s">
        <v>422</v>
      </c>
      <c r="R705" s="26"/>
      <c r="S705" s="65"/>
      <c r="T705" s="65"/>
      <c r="U705" s="13"/>
    </row>
    <row r="706">
      <c r="B706" s="51"/>
      <c r="C706" s="62"/>
      <c r="D706" s="13"/>
      <c r="E706" s="64"/>
      <c r="F706" s="64"/>
      <c r="G706" s="64"/>
      <c r="H706" s="64"/>
      <c r="I706" s="13"/>
      <c r="J706" s="64"/>
      <c r="K706" s="63"/>
      <c r="L706" s="63"/>
      <c r="M706" s="64"/>
      <c r="N706" s="13"/>
      <c r="Q706" s="26" t="s">
        <v>422</v>
      </c>
      <c r="R706" s="26"/>
      <c r="S706" s="65"/>
      <c r="T706" s="65"/>
      <c r="U706" s="13"/>
    </row>
    <row r="707">
      <c r="B707" s="51"/>
      <c r="C707" s="62"/>
      <c r="D707" s="13"/>
      <c r="E707" s="64"/>
      <c r="F707" s="64"/>
      <c r="G707" s="64"/>
      <c r="H707" s="64"/>
      <c r="I707" s="13"/>
      <c r="J707" s="64"/>
      <c r="K707" s="63"/>
      <c r="L707" s="63"/>
      <c r="M707" s="64"/>
      <c r="N707" s="13"/>
      <c r="Q707" s="26" t="s">
        <v>422</v>
      </c>
      <c r="R707" s="26"/>
      <c r="S707" s="65"/>
      <c r="T707" s="65"/>
      <c r="U707" s="13"/>
    </row>
    <row r="708">
      <c r="B708" s="51"/>
      <c r="C708" s="62"/>
      <c r="D708" s="13"/>
      <c r="E708" s="64"/>
      <c r="F708" s="64"/>
      <c r="G708" s="64"/>
      <c r="H708" s="64"/>
      <c r="I708" s="13"/>
      <c r="J708" s="64"/>
      <c r="K708" s="63"/>
      <c r="L708" s="63"/>
      <c r="M708" s="64"/>
      <c r="N708" s="13"/>
      <c r="Q708" s="26" t="s">
        <v>422</v>
      </c>
      <c r="R708" s="26"/>
      <c r="S708" s="65"/>
      <c r="T708" s="65"/>
      <c r="U708" s="13"/>
    </row>
    <row r="709">
      <c r="B709" s="51"/>
      <c r="C709" s="62"/>
      <c r="D709" s="13"/>
      <c r="E709" s="64"/>
      <c r="F709" s="64"/>
      <c r="G709" s="64"/>
      <c r="H709" s="64"/>
      <c r="I709" s="13"/>
      <c r="J709" s="64"/>
      <c r="K709" s="63"/>
      <c r="L709" s="63"/>
      <c r="M709" s="64"/>
      <c r="N709" s="13"/>
      <c r="Q709" s="26" t="s">
        <v>422</v>
      </c>
      <c r="R709" s="26"/>
      <c r="S709" s="65"/>
      <c r="T709" s="65"/>
      <c r="U709" s="13"/>
    </row>
    <row r="710">
      <c r="B710" s="51"/>
      <c r="C710" s="62"/>
      <c r="D710" s="13"/>
      <c r="E710" s="64"/>
      <c r="F710" s="64"/>
      <c r="G710" s="64"/>
      <c r="H710" s="64"/>
      <c r="I710" s="13"/>
      <c r="J710" s="64"/>
      <c r="K710" s="63"/>
      <c r="L710" s="63"/>
      <c r="M710" s="64"/>
      <c r="N710" s="13"/>
      <c r="Q710" s="26" t="s">
        <v>422</v>
      </c>
      <c r="R710" s="26"/>
      <c r="S710" s="65"/>
      <c r="T710" s="65"/>
      <c r="U710" s="13"/>
    </row>
    <row r="711">
      <c r="B711" s="51"/>
      <c r="C711" s="62"/>
      <c r="D711" s="13"/>
      <c r="E711" s="64"/>
      <c r="F711" s="64"/>
      <c r="G711" s="64"/>
      <c r="H711" s="64"/>
      <c r="I711" s="13"/>
      <c r="J711" s="64"/>
      <c r="K711" s="63"/>
      <c r="L711" s="63"/>
      <c r="M711" s="64"/>
      <c r="N711" s="13"/>
      <c r="Q711" s="26" t="s">
        <v>422</v>
      </c>
      <c r="R711" s="26"/>
      <c r="S711" s="65"/>
      <c r="T711" s="65"/>
      <c r="U711" s="13"/>
    </row>
    <row r="712">
      <c r="B712" s="51"/>
      <c r="C712" s="62"/>
      <c r="D712" s="13"/>
      <c r="E712" s="64"/>
      <c r="F712" s="64"/>
      <c r="G712" s="64"/>
      <c r="H712" s="64"/>
      <c r="I712" s="13"/>
      <c r="J712" s="64"/>
      <c r="K712" s="63"/>
      <c r="L712" s="63"/>
      <c r="M712" s="64"/>
      <c r="N712" s="13"/>
      <c r="Q712" s="26" t="s">
        <v>422</v>
      </c>
      <c r="R712" s="26"/>
      <c r="S712" s="65"/>
      <c r="T712" s="65"/>
      <c r="U712" s="13"/>
    </row>
    <row r="713">
      <c r="B713" s="51"/>
      <c r="C713" s="62"/>
      <c r="D713" s="13"/>
      <c r="E713" s="64"/>
      <c r="F713" s="64"/>
      <c r="G713" s="64"/>
      <c r="H713" s="64"/>
      <c r="I713" s="13"/>
      <c r="J713" s="64"/>
      <c r="K713" s="63"/>
      <c r="L713" s="63"/>
      <c r="M713" s="64"/>
      <c r="N713" s="13"/>
      <c r="Q713" s="26" t="s">
        <v>422</v>
      </c>
      <c r="R713" s="26"/>
      <c r="S713" s="65"/>
      <c r="T713" s="65"/>
      <c r="U713" s="13"/>
    </row>
    <row r="714">
      <c r="B714" s="51"/>
      <c r="C714" s="62"/>
      <c r="D714" s="13"/>
      <c r="E714" s="64"/>
      <c r="F714" s="64"/>
      <c r="G714" s="64"/>
      <c r="H714" s="64"/>
      <c r="I714" s="13"/>
      <c r="J714" s="64"/>
      <c r="K714" s="63"/>
      <c r="L714" s="63"/>
      <c r="M714" s="64"/>
      <c r="N714" s="13"/>
      <c r="Q714" s="26" t="s">
        <v>422</v>
      </c>
      <c r="R714" s="26"/>
      <c r="S714" s="65"/>
      <c r="T714" s="65"/>
      <c r="U714" s="13"/>
    </row>
    <row r="715">
      <c r="B715" s="51"/>
      <c r="C715" s="62"/>
      <c r="D715" s="13"/>
      <c r="E715" s="64"/>
      <c r="F715" s="64"/>
      <c r="G715" s="64"/>
      <c r="H715" s="64"/>
      <c r="I715" s="13"/>
      <c r="J715" s="64"/>
      <c r="K715" s="63"/>
      <c r="L715" s="63"/>
      <c r="M715" s="64"/>
      <c r="N715" s="13"/>
      <c r="Q715" s="26" t="s">
        <v>422</v>
      </c>
      <c r="R715" s="26"/>
      <c r="S715" s="65"/>
      <c r="T715" s="65"/>
      <c r="U715" s="13"/>
    </row>
    <row r="716">
      <c r="B716" s="51"/>
      <c r="C716" s="62"/>
      <c r="D716" s="13"/>
      <c r="E716" s="64"/>
      <c r="F716" s="64"/>
      <c r="G716" s="64"/>
      <c r="H716" s="64"/>
      <c r="I716" s="13"/>
      <c r="J716" s="64"/>
      <c r="K716" s="63"/>
      <c r="L716" s="63"/>
      <c r="M716" s="64"/>
      <c r="N716" s="13"/>
      <c r="Q716" s="26" t="s">
        <v>422</v>
      </c>
      <c r="R716" s="26"/>
      <c r="S716" s="65"/>
      <c r="T716" s="65"/>
      <c r="U716" s="13"/>
    </row>
    <row r="717">
      <c r="B717" s="51"/>
      <c r="C717" s="62"/>
      <c r="D717" s="13"/>
      <c r="E717" s="64"/>
      <c r="F717" s="64"/>
      <c r="G717" s="64"/>
      <c r="H717" s="64"/>
      <c r="I717" s="13"/>
      <c r="J717" s="64"/>
      <c r="K717" s="63"/>
      <c r="L717" s="63"/>
      <c r="M717" s="64"/>
      <c r="N717" s="13"/>
      <c r="Q717" s="26" t="s">
        <v>422</v>
      </c>
      <c r="R717" s="26"/>
      <c r="S717" s="65"/>
      <c r="T717" s="65"/>
      <c r="U717" s="13"/>
    </row>
    <row r="718">
      <c r="B718" s="51"/>
      <c r="C718" s="62"/>
      <c r="D718" s="13"/>
      <c r="E718" s="64"/>
      <c r="F718" s="64"/>
      <c r="G718" s="64"/>
      <c r="H718" s="64"/>
      <c r="I718" s="13"/>
      <c r="J718" s="64"/>
      <c r="K718" s="63"/>
      <c r="L718" s="63"/>
      <c r="M718" s="64"/>
      <c r="N718" s="13"/>
      <c r="Q718" s="26" t="s">
        <v>422</v>
      </c>
      <c r="R718" s="26"/>
      <c r="S718" s="65"/>
      <c r="T718" s="65"/>
      <c r="U718" s="13"/>
    </row>
    <row r="719">
      <c r="B719" s="51"/>
      <c r="C719" s="62"/>
      <c r="D719" s="13"/>
      <c r="E719" s="64"/>
      <c r="F719" s="64"/>
      <c r="G719" s="64"/>
      <c r="H719" s="64"/>
      <c r="I719" s="13"/>
      <c r="J719" s="64"/>
      <c r="K719" s="63"/>
      <c r="L719" s="63"/>
      <c r="M719" s="64"/>
      <c r="N719" s="13"/>
      <c r="Q719" s="26" t="s">
        <v>422</v>
      </c>
      <c r="R719" s="26"/>
      <c r="S719" s="65"/>
      <c r="T719" s="65"/>
      <c r="U719" s="13"/>
    </row>
    <row r="720">
      <c r="B720" s="51"/>
      <c r="C720" s="62"/>
      <c r="D720" s="13"/>
      <c r="E720" s="64"/>
      <c r="F720" s="64"/>
      <c r="G720" s="64"/>
      <c r="H720" s="64"/>
      <c r="I720" s="13"/>
      <c r="J720" s="64"/>
      <c r="K720" s="63"/>
      <c r="L720" s="63"/>
      <c r="M720" s="64"/>
      <c r="N720" s="13"/>
      <c r="Q720" s="26" t="s">
        <v>422</v>
      </c>
      <c r="R720" s="26"/>
      <c r="S720" s="65"/>
      <c r="T720" s="65"/>
      <c r="U720" s="13"/>
    </row>
    <row r="721">
      <c r="B721" s="51"/>
      <c r="C721" s="62"/>
      <c r="D721" s="13"/>
      <c r="E721" s="64"/>
      <c r="F721" s="64"/>
      <c r="G721" s="64"/>
      <c r="H721" s="64"/>
      <c r="I721" s="13"/>
      <c r="J721" s="64"/>
      <c r="K721" s="63"/>
      <c r="L721" s="63"/>
      <c r="M721" s="64"/>
      <c r="N721" s="13"/>
      <c r="Q721" s="26" t="s">
        <v>422</v>
      </c>
      <c r="R721" s="26"/>
      <c r="S721" s="65"/>
      <c r="T721" s="65"/>
      <c r="U721" s="13"/>
    </row>
    <row r="722">
      <c r="B722" s="51"/>
      <c r="C722" s="62"/>
      <c r="D722" s="13"/>
      <c r="E722" s="64"/>
      <c r="F722" s="64"/>
      <c r="G722" s="64"/>
      <c r="H722" s="64"/>
      <c r="I722" s="13"/>
      <c r="J722" s="64"/>
      <c r="K722" s="63"/>
      <c r="L722" s="63"/>
      <c r="M722" s="64"/>
      <c r="N722" s="13"/>
      <c r="Q722" s="26" t="s">
        <v>422</v>
      </c>
      <c r="R722" s="26"/>
      <c r="S722" s="65"/>
      <c r="T722" s="65"/>
      <c r="U722" s="13"/>
    </row>
    <row r="723">
      <c r="B723" s="51"/>
      <c r="C723" s="62"/>
      <c r="D723" s="13"/>
      <c r="E723" s="64"/>
      <c r="F723" s="64"/>
      <c r="G723" s="64"/>
      <c r="H723" s="64"/>
      <c r="I723" s="13"/>
      <c r="J723" s="64"/>
      <c r="K723" s="63"/>
      <c r="L723" s="63"/>
      <c r="M723" s="64"/>
      <c r="N723" s="13"/>
      <c r="Q723" s="26" t="s">
        <v>422</v>
      </c>
      <c r="R723" s="26"/>
      <c r="S723" s="65"/>
      <c r="T723" s="65"/>
      <c r="U723" s="13"/>
    </row>
    <row r="724">
      <c r="B724" s="51"/>
      <c r="C724" s="62"/>
      <c r="D724" s="13"/>
      <c r="E724" s="64"/>
      <c r="F724" s="64"/>
      <c r="G724" s="64"/>
      <c r="H724" s="64"/>
      <c r="I724" s="13"/>
      <c r="J724" s="64"/>
      <c r="K724" s="63"/>
      <c r="L724" s="63"/>
      <c r="M724" s="64"/>
      <c r="N724" s="13"/>
      <c r="Q724" s="26" t="s">
        <v>422</v>
      </c>
      <c r="R724" s="26"/>
      <c r="S724" s="65"/>
      <c r="T724" s="65"/>
      <c r="U724" s="13"/>
    </row>
    <row r="725">
      <c r="B725" s="51"/>
      <c r="C725" s="62"/>
      <c r="D725" s="13"/>
      <c r="E725" s="64"/>
      <c r="F725" s="64"/>
      <c r="G725" s="64"/>
      <c r="H725" s="64"/>
      <c r="I725" s="13"/>
      <c r="J725" s="64"/>
      <c r="K725" s="63"/>
      <c r="L725" s="63"/>
      <c r="M725" s="64"/>
      <c r="N725" s="13"/>
      <c r="Q725" s="26" t="s">
        <v>422</v>
      </c>
      <c r="R725" s="26"/>
      <c r="S725" s="65"/>
      <c r="T725" s="65"/>
      <c r="U725" s="13"/>
    </row>
    <row r="726">
      <c r="B726" s="51"/>
      <c r="C726" s="62"/>
      <c r="D726" s="13"/>
      <c r="E726" s="64"/>
      <c r="F726" s="64"/>
      <c r="G726" s="64"/>
      <c r="H726" s="64"/>
      <c r="I726" s="13"/>
      <c r="J726" s="64"/>
      <c r="K726" s="63"/>
      <c r="L726" s="63"/>
      <c r="M726" s="64"/>
      <c r="N726" s="13"/>
      <c r="Q726" s="26" t="s">
        <v>422</v>
      </c>
      <c r="R726" s="26"/>
      <c r="S726" s="65"/>
      <c r="T726" s="65"/>
      <c r="U726" s="13"/>
    </row>
    <row r="727">
      <c r="B727" s="51"/>
      <c r="C727" s="62"/>
      <c r="D727" s="13"/>
      <c r="E727" s="64"/>
      <c r="F727" s="64"/>
      <c r="G727" s="64"/>
      <c r="H727" s="64"/>
      <c r="I727" s="13"/>
      <c r="J727" s="64"/>
      <c r="K727" s="63"/>
      <c r="L727" s="63"/>
      <c r="M727" s="64"/>
      <c r="N727" s="13"/>
      <c r="Q727" s="26" t="s">
        <v>422</v>
      </c>
      <c r="R727" s="26"/>
      <c r="S727" s="65"/>
      <c r="T727" s="65"/>
      <c r="U727" s="13"/>
    </row>
    <row r="728">
      <c r="B728" s="51"/>
      <c r="C728" s="62"/>
      <c r="D728" s="13"/>
      <c r="E728" s="64"/>
      <c r="F728" s="64"/>
      <c r="G728" s="64"/>
      <c r="H728" s="64"/>
      <c r="I728" s="13"/>
      <c r="J728" s="64"/>
      <c r="K728" s="63"/>
      <c r="L728" s="63"/>
      <c r="M728" s="64"/>
      <c r="N728" s="13"/>
      <c r="Q728" s="26" t="s">
        <v>422</v>
      </c>
      <c r="R728" s="26"/>
      <c r="S728" s="65"/>
      <c r="T728" s="65"/>
      <c r="U728" s="13"/>
    </row>
    <row r="729">
      <c r="B729" s="51"/>
      <c r="C729" s="62"/>
      <c r="D729" s="13"/>
      <c r="E729" s="64"/>
      <c r="F729" s="64"/>
      <c r="G729" s="64"/>
      <c r="H729" s="64"/>
      <c r="I729" s="13"/>
      <c r="J729" s="64"/>
      <c r="K729" s="63"/>
      <c r="L729" s="63"/>
      <c r="M729" s="64"/>
      <c r="N729" s="13"/>
      <c r="Q729" s="26" t="s">
        <v>422</v>
      </c>
      <c r="R729" s="26"/>
      <c r="S729" s="65"/>
      <c r="T729" s="65"/>
      <c r="U729" s="13"/>
    </row>
    <row r="730">
      <c r="B730" s="51"/>
      <c r="C730" s="62"/>
      <c r="D730" s="13"/>
      <c r="E730" s="64"/>
      <c r="F730" s="64"/>
      <c r="G730" s="64"/>
      <c r="H730" s="64"/>
      <c r="I730" s="13"/>
      <c r="J730" s="64"/>
      <c r="K730" s="63"/>
      <c r="L730" s="63"/>
      <c r="M730" s="64"/>
      <c r="N730" s="13"/>
      <c r="Q730" s="26" t="s">
        <v>422</v>
      </c>
      <c r="R730" s="26"/>
      <c r="S730" s="65"/>
      <c r="T730" s="65"/>
      <c r="U730" s="13"/>
    </row>
    <row r="731">
      <c r="B731" s="51"/>
      <c r="C731" s="62"/>
      <c r="D731" s="13"/>
      <c r="E731" s="64"/>
      <c r="F731" s="64"/>
      <c r="G731" s="64"/>
      <c r="H731" s="64"/>
      <c r="I731" s="13"/>
      <c r="J731" s="64"/>
      <c r="K731" s="63"/>
      <c r="L731" s="63"/>
      <c r="M731" s="64"/>
      <c r="N731" s="13"/>
      <c r="Q731" s="26" t="s">
        <v>422</v>
      </c>
      <c r="R731" s="26"/>
      <c r="S731" s="65"/>
      <c r="T731" s="65"/>
      <c r="U731" s="13"/>
    </row>
    <row r="732">
      <c r="B732" s="51"/>
      <c r="C732" s="62"/>
      <c r="D732" s="13"/>
      <c r="E732" s="64"/>
      <c r="F732" s="64"/>
      <c r="G732" s="64"/>
      <c r="H732" s="64"/>
      <c r="I732" s="13"/>
      <c r="J732" s="64"/>
      <c r="K732" s="63"/>
      <c r="L732" s="63"/>
      <c r="M732" s="64"/>
      <c r="N732" s="13"/>
      <c r="Q732" s="26" t="s">
        <v>422</v>
      </c>
      <c r="R732" s="26"/>
      <c r="S732" s="65"/>
      <c r="T732" s="65"/>
      <c r="U732" s="13"/>
    </row>
    <row r="733">
      <c r="B733" s="51"/>
      <c r="C733" s="62"/>
      <c r="D733" s="13"/>
      <c r="E733" s="64"/>
      <c r="F733" s="64"/>
      <c r="G733" s="64"/>
      <c r="H733" s="64"/>
      <c r="I733" s="13"/>
      <c r="J733" s="64"/>
      <c r="K733" s="63"/>
      <c r="L733" s="63"/>
      <c r="M733" s="64"/>
      <c r="N733" s="13"/>
      <c r="Q733" s="26" t="s">
        <v>422</v>
      </c>
      <c r="R733" s="26"/>
      <c r="S733" s="65"/>
      <c r="T733" s="65"/>
      <c r="U733" s="13"/>
    </row>
    <row r="734">
      <c r="B734" s="51"/>
      <c r="C734" s="62"/>
      <c r="D734" s="13"/>
      <c r="E734" s="64"/>
      <c r="F734" s="64"/>
      <c r="G734" s="64"/>
      <c r="H734" s="64"/>
      <c r="I734" s="13"/>
      <c r="J734" s="64"/>
      <c r="K734" s="63"/>
      <c r="L734" s="63"/>
      <c r="M734" s="64"/>
      <c r="N734" s="13"/>
      <c r="Q734" s="26" t="s">
        <v>422</v>
      </c>
      <c r="R734" s="26"/>
      <c r="S734" s="65"/>
      <c r="T734" s="65"/>
      <c r="U734" s="13"/>
    </row>
    <row r="735">
      <c r="B735" s="51"/>
      <c r="C735" s="62"/>
      <c r="D735" s="13"/>
      <c r="E735" s="64"/>
      <c r="F735" s="64"/>
      <c r="G735" s="64"/>
      <c r="H735" s="64"/>
      <c r="I735" s="13"/>
      <c r="J735" s="64"/>
      <c r="K735" s="63"/>
      <c r="L735" s="63"/>
      <c r="M735" s="64"/>
      <c r="N735" s="13"/>
      <c r="Q735" s="26" t="s">
        <v>422</v>
      </c>
      <c r="R735" s="26"/>
      <c r="S735" s="65"/>
      <c r="T735" s="65"/>
      <c r="U735" s="13"/>
    </row>
    <row r="736">
      <c r="B736" s="51"/>
      <c r="C736" s="62"/>
      <c r="D736" s="13"/>
      <c r="E736" s="64"/>
      <c r="F736" s="64"/>
      <c r="G736" s="64"/>
      <c r="H736" s="64"/>
      <c r="I736" s="13"/>
      <c r="J736" s="64"/>
      <c r="K736" s="63"/>
      <c r="L736" s="63"/>
      <c r="M736" s="64"/>
      <c r="N736" s="13"/>
      <c r="Q736" s="26" t="s">
        <v>422</v>
      </c>
      <c r="R736" s="26"/>
      <c r="S736" s="65"/>
      <c r="T736" s="65"/>
      <c r="U736" s="13"/>
    </row>
    <row r="737">
      <c r="B737" s="51"/>
      <c r="C737" s="62"/>
      <c r="D737" s="13"/>
      <c r="E737" s="64"/>
      <c r="F737" s="64"/>
      <c r="G737" s="64"/>
      <c r="H737" s="64"/>
      <c r="I737" s="13"/>
      <c r="J737" s="64"/>
      <c r="K737" s="63"/>
      <c r="L737" s="63"/>
      <c r="M737" s="64"/>
      <c r="N737" s="13"/>
      <c r="Q737" s="26" t="s">
        <v>422</v>
      </c>
      <c r="R737" s="26"/>
      <c r="S737" s="65"/>
      <c r="T737" s="65"/>
      <c r="U737" s="13"/>
    </row>
    <row r="738">
      <c r="B738" s="51"/>
      <c r="C738" s="62"/>
      <c r="D738" s="13"/>
      <c r="E738" s="64"/>
      <c r="F738" s="64"/>
      <c r="G738" s="64"/>
      <c r="H738" s="64"/>
      <c r="I738" s="13"/>
      <c r="J738" s="64"/>
      <c r="K738" s="63"/>
      <c r="L738" s="63"/>
      <c r="M738" s="64"/>
      <c r="N738" s="13"/>
      <c r="Q738" s="26" t="s">
        <v>422</v>
      </c>
      <c r="R738" s="26"/>
      <c r="S738" s="65"/>
      <c r="T738" s="65"/>
      <c r="U738" s="13"/>
    </row>
    <row r="739">
      <c r="B739" s="51"/>
      <c r="C739" s="62"/>
      <c r="D739" s="13"/>
      <c r="E739" s="64"/>
      <c r="F739" s="64"/>
      <c r="G739" s="64"/>
      <c r="H739" s="64"/>
      <c r="I739" s="13"/>
      <c r="J739" s="64"/>
      <c r="K739" s="63"/>
      <c r="L739" s="63"/>
      <c r="M739" s="64"/>
      <c r="N739" s="13"/>
      <c r="Q739" s="26" t="s">
        <v>422</v>
      </c>
      <c r="R739" s="26"/>
      <c r="S739" s="65"/>
      <c r="T739" s="65"/>
      <c r="U739" s="13"/>
    </row>
    <row r="740">
      <c r="B740" s="51"/>
      <c r="C740" s="62"/>
      <c r="D740" s="13"/>
      <c r="E740" s="64"/>
      <c r="F740" s="64"/>
      <c r="G740" s="64"/>
      <c r="H740" s="64"/>
      <c r="I740" s="13"/>
      <c r="J740" s="64"/>
      <c r="K740" s="63"/>
      <c r="L740" s="63"/>
      <c r="M740" s="64"/>
      <c r="N740" s="13"/>
      <c r="Q740" s="26" t="s">
        <v>422</v>
      </c>
      <c r="R740" s="26"/>
      <c r="S740" s="65"/>
      <c r="T740" s="65"/>
      <c r="U740" s="13"/>
    </row>
    <row r="741">
      <c r="B741" s="51"/>
      <c r="C741" s="62"/>
      <c r="D741" s="13"/>
      <c r="E741" s="64"/>
      <c r="F741" s="64"/>
      <c r="G741" s="64"/>
      <c r="H741" s="64"/>
      <c r="I741" s="13"/>
      <c r="J741" s="64"/>
      <c r="K741" s="63"/>
      <c r="L741" s="63"/>
      <c r="M741" s="64"/>
      <c r="N741" s="13"/>
      <c r="Q741" s="26" t="s">
        <v>422</v>
      </c>
      <c r="R741" s="26"/>
      <c r="S741" s="65"/>
      <c r="T741" s="65"/>
      <c r="U741" s="13"/>
    </row>
    <row r="742">
      <c r="B742" s="51"/>
      <c r="C742" s="62"/>
      <c r="D742" s="13"/>
      <c r="E742" s="64"/>
      <c r="F742" s="64"/>
      <c r="G742" s="64"/>
      <c r="H742" s="64"/>
      <c r="I742" s="13"/>
      <c r="J742" s="64"/>
      <c r="K742" s="63"/>
      <c r="L742" s="63"/>
      <c r="M742" s="64"/>
      <c r="N742" s="13"/>
      <c r="Q742" s="26" t="s">
        <v>422</v>
      </c>
      <c r="R742" s="26"/>
      <c r="S742" s="65"/>
      <c r="T742" s="65"/>
      <c r="U742" s="13"/>
    </row>
    <row r="743">
      <c r="B743" s="51"/>
      <c r="C743" s="62"/>
      <c r="D743" s="13"/>
      <c r="E743" s="64"/>
      <c r="F743" s="64"/>
      <c r="G743" s="64"/>
      <c r="H743" s="64"/>
      <c r="I743" s="13"/>
      <c r="J743" s="64"/>
      <c r="K743" s="63"/>
      <c r="L743" s="63"/>
      <c r="M743" s="64"/>
      <c r="N743" s="13"/>
      <c r="Q743" s="26" t="s">
        <v>422</v>
      </c>
      <c r="R743" s="26"/>
      <c r="S743" s="65"/>
      <c r="T743" s="65"/>
      <c r="U743" s="13"/>
    </row>
    <row r="744">
      <c r="B744" s="51"/>
      <c r="C744" s="62"/>
      <c r="D744" s="13"/>
      <c r="E744" s="64"/>
      <c r="F744" s="64"/>
      <c r="G744" s="64"/>
      <c r="H744" s="64"/>
      <c r="I744" s="13"/>
      <c r="J744" s="64"/>
      <c r="K744" s="63"/>
      <c r="L744" s="63"/>
      <c r="M744" s="64"/>
      <c r="N744" s="13"/>
      <c r="Q744" s="26" t="s">
        <v>422</v>
      </c>
      <c r="R744" s="26"/>
      <c r="S744" s="65"/>
      <c r="T744" s="65"/>
      <c r="U744" s="13"/>
    </row>
    <row r="745">
      <c r="B745" s="51"/>
      <c r="C745" s="62"/>
      <c r="D745" s="13"/>
      <c r="E745" s="64"/>
      <c r="F745" s="64"/>
      <c r="G745" s="64"/>
      <c r="H745" s="64"/>
      <c r="I745" s="13"/>
      <c r="J745" s="64"/>
      <c r="K745" s="63"/>
      <c r="L745" s="63"/>
      <c r="M745" s="64"/>
      <c r="N745" s="13"/>
      <c r="Q745" s="26" t="s">
        <v>422</v>
      </c>
      <c r="R745" s="26"/>
      <c r="S745" s="65"/>
      <c r="T745" s="65"/>
      <c r="U745" s="13"/>
    </row>
    <row r="746">
      <c r="B746" s="51"/>
      <c r="C746" s="62"/>
      <c r="D746" s="13"/>
      <c r="E746" s="64"/>
      <c r="F746" s="64"/>
      <c r="G746" s="64"/>
      <c r="H746" s="64"/>
      <c r="I746" s="13"/>
      <c r="J746" s="64"/>
      <c r="K746" s="63"/>
      <c r="L746" s="63"/>
      <c r="M746" s="64"/>
      <c r="N746" s="13"/>
      <c r="Q746" s="26" t="s">
        <v>422</v>
      </c>
      <c r="R746" s="26"/>
      <c r="S746" s="65"/>
      <c r="T746" s="65"/>
      <c r="U746" s="13"/>
    </row>
    <row r="747">
      <c r="B747" s="51"/>
      <c r="C747" s="62"/>
      <c r="D747" s="13"/>
      <c r="E747" s="64"/>
      <c r="F747" s="64"/>
      <c r="G747" s="64"/>
      <c r="H747" s="64"/>
      <c r="I747" s="13"/>
      <c r="J747" s="64"/>
      <c r="K747" s="63"/>
      <c r="L747" s="63"/>
      <c r="M747" s="64"/>
      <c r="N747" s="13"/>
      <c r="Q747" s="26" t="s">
        <v>422</v>
      </c>
      <c r="R747" s="26"/>
      <c r="S747" s="65"/>
      <c r="T747" s="65"/>
      <c r="U747" s="13"/>
    </row>
    <row r="748">
      <c r="B748" s="51"/>
      <c r="C748" s="62"/>
      <c r="D748" s="13"/>
      <c r="E748" s="64"/>
      <c r="F748" s="64"/>
      <c r="G748" s="64"/>
      <c r="H748" s="64"/>
      <c r="I748" s="13"/>
      <c r="J748" s="64"/>
      <c r="K748" s="63"/>
      <c r="L748" s="63"/>
      <c r="M748" s="64"/>
      <c r="N748" s="13"/>
      <c r="Q748" s="26" t="s">
        <v>422</v>
      </c>
      <c r="R748" s="26"/>
      <c r="S748" s="65"/>
      <c r="T748" s="65"/>
      <c r="U748" s="13"/>
    </row>
    <row r="749">
      <c r="B749" s="51"/>
      <c r="C749" s="62"/>
      <c r="D749" s="13"/>
      <c r="E749" s="64"/>
      <c r="F749" s="64"/>
      <c r="G749" s="64"/>
      <c r="H749" s="64"/>
      <c r="I749" s="13"/>
      <c r="J749" s="64"/>
      <c r="K749" s="63"/>
      <c r="L749" s="63"/>
      <c r="M749" s="64"/>
      <c r="N749" s="13"/>
      <c r="Q749" s="26" t="s">
        <v>422</v>
      </c>
      <c r="R749" s="26"/>
      <c r="S749" s="65"/>
      <c r="T749" s="65"/>
      <c r="U749" s="13"/>
    </row>
    <row r="750">
      <c r="B750" s="51"/>
      <c r="C750" s="62"/>
      <c r="D750" s="13"/>
      <c r="E750" s="64"/>
      <c r="F750" s="64"/>
      <c r="G750" s="64"/>
      <c r="H750" s="64"/>
      <c r="I750" s="13"/>
      <c r="J750" s="64"/>
      <c r="K750" s="63"/>
      <c r="L750" s="63"/>
      <c r="M750" s="64"/>
      <c r="N750" s="13"/>
      <c r="Q750" s="26" t="s">
        <v>422</v>
      </c>
      <c r="R750" s="26"/>
      <c r="S750" s="65"/>
      <c r="T750" s="65"/>
      <c r="U750" s="13"/>
    </row>
    <row r="751">
      <c r="B751" s="51"/>
      <c r="C751" s="62"/>
      <c r="D751" s="13"/>
      <c r="E751" s="64"/>
      <c r="F751" s="64"/>
      <c r="G751" s="64"/>
      <c r="H751" s="64"/>
      <c r="I751" s="13"/>
      <c r="J751" s="64"/>
      <c r="K751" s="63"/>
      <c r="L751" s="63"/>
      <c r="M751" s="64"/>
      <c r="N751" s="13"/>
      <c r="Q751" s="26" t="s">
        <v>422</v>
      </c>
      <c r="R751" s="26"/>
      <c r="S751" s="65"/>
      <c r="T751" s="65"/>
      <c r="U751" s="13"/>
    </row>
    <row r="752">
      <c r="B752" s="51"/>
      <c r="C752" s="62"/>
      <c r="D752" s="13"/>
      <c r="E752" s="64"/>
      <c r="F752" s="64"/>
      <c r="G752" s="64"/>
      <c r="H752" s="64"/>
      <c r="I752" s="13"/>
      <c r="J752" s="64"/>
      <c r="K752" s="63"/>
      <c r="L752" s="63"/>
      <c r="M752" s="64"/>
      <c r="N752" s="13"/>
      <c r="Q752" s="26" t="s">
        <v>422</v>
      </c>
      <c r="R752" s="26"/>
      <c r="S752" s="65"/>
      <c r="T752" s="65"/>
      <c r="U752" s="13"/>
    </row>
    <row r="753">
      <c r="B753" s="51"/>
      <c r="C753" s="62"/>
      <c r="D753" s="13"/>
      <c r="E753" s="64"/>
      <c r="F753" s="64"/>
      <c r="G753" s="64"/>
      <c r="H753" s="64"/>
      <c r="I753" s="13"/>
      <c r="J753" s="64"/>
      <c r="K753" s="63"/>
      <c r="L753" s="63"/>
      <c r="M753" s="64"/>
      <c r="N753" s="13"/>
      <c r="Q753" s="26" t="s">
        <v>422</v>
      </c>
      <c r="R753" s="26"/>
      <c r="S753" s="65"/>
      <c r="T753" s="65"/>
      <c r="U753" s="13"/>
    </row>
    <row r="754">
      <c r="B754" s="51"/>
      <c r="C754" s="62"/>
      <c r="D754" s="13"/>
      <c r="E754" s="64"/>
      <c r="F754" s="64"/>
      <c r="G754" s="64"/>
      <c r="H754" s="64"/>
      <c r="I754" s="13"/>
      <c r="J754" s="64"/>
      <c r="K754" s="63"/>
      <c r="L754" s="63"/>
      <c r="M754" s="64"/>
      <c r="N754" s="13"/>
      <c r="Q754" s="26" t="s">
        <v>422</v>
      </c>
      <c r="R754" s="26"/>
      <c r="S754" s="65"/>
      <c r="T754" s="65"/>
      <c r="U754" s="13"/>
    </row>
    <row r="755">
      <c r="B755" s="51"/>
      <c r="C755" s="62"/>
      <c r="D755" s="13"/>
      <c r="E755" s="64"/>
      <c r="F755" s="64"/>
      <c r="G755" s="64"/>
      <c r="H755" s="64"/>
      <c r="I755" s="13"/>
      <c r="J755" s="64"/>
      <c r="K755" s="63"/>
      <c r="L755" s="63"/>
      <c r="M755" s="64"/>
      <c r="N755" s="13"/>
      <c r="Q755" s="26" t="s">
        <v>422</v>
      </c>
      <c r="R755" s="26"/>
      <c r="S755" s="65"/>
      <c r="T755" s="65"/>
      <c r="U755" s="13"/>
    </row>
    <row r="756">
      <c r="B756" s="51"/>
      <c r="C756" s="62"/>
      <c r="D756" s="13"/>
      <c r="E756" s="64"/>
      <c r="F756" s="64"/>
      <c r="G756" s="64"/>
      <c r="H756" s="64"/>
      <c r="I756" s="13"/>
      <c r="J756" s="64"/>
      <c r="K756" s="63"/>
      <c r="L756" s="63"/>
      <c r="M756" s="64"/>
      <c r="N756" s="13"/>
      <c r="Q756" s="26" t="s">
        <v>422</v>
      </c>
      <c r="R756" s="26"/>
      <c r="S756" s="65"/>
      <c r="T756" s="65"/>
      <c r="U756" s="13"/>
    </row>
    <row r="757">
      <c r="B757" s="51"/>
      <c r="C757" s="62"/>
      <c r="D757" s="13"/>
      <c r="E757" s="64"/>
      <c r="F757" s="64"/>
      <c r="G757" s="64"/>
      <c r="H757" s="64"/>
      <c r="I757" s="13"/>
      <c r="J757" s="64"/>
      <c r="K757" s="63"/>
      <c r="L757" s="63"/>
      <c r="M757" s="64"/>
      <c r="N757" s="13"/>
      <c r="Q757" s="26" t="s">
        <v>422</v>
      </c>
      <c r="R757" s="26"/>
      <c r="S757" s="65"/>
      <c r="T757" s="65"/>
      <c r="U757" s="13"/>
    </row>
    <row r="758">
      <c r="B758" s="51"/>
      <c r="C758" s="62"/>
      <c r="D758" s="13"/>
      <c r="E758" s="64"/>
      <c r="F758" s="64"/>
      <c r="G758" s="64"/>
      <c r="H758" s="64"/>
      <c r="I758" s="13"/>
      <c r="J758" s="64"/>
      <c r="K758" s="63"/>
      <c r="L758" s="63"/>
      <c r="M758" s="64"/>
      <c r="N758" s="13"/>
      <c r="Q758" s="26" t="s">
        <v>422</v>
      </c>
      <c r="R758" s="26"/>
      <c r="S758" s="65"/>
      <c r="T758" s="65"/>
      <c r="U758" s="13"/>
    </row>
    <row r="759">
      <c r="B759" s="51"/>
      <c r="C759" s="62"/>
      <c r="D759" s="13"/>
      <c r="E759" s="64"/>
      <c r="F759" s="64"/>
      <c r="G759" s="64"/>
      <c r="H759" s="64"/>
      <c r="I759" s="13"/>
      <c r="J759" s="64"/>
      <c r="K759" s="63"/>
      <c r="L759" s="63"/>
      <c r="M759" s="64"/>
      <c r="N759" s="13"/>
      <c r="Q759" s="26" t="s">
        <v>422</v>
      </c>
      <c r="R759" s="26"/>
      <c r="S759" s="65"/>
      <c r="T759" s="65"/>
      <c r="U759" s="13"/>
    </row>
    <row r="760">
      <c r="B760" s="51"/>
      <c r="C760" s="62"/>
      <c r="D760" s="13"/>
      <c r="E760" s="64"/>
      <c r="F760" s="64"/>
      <c r="G760" s="64"/>
      <c r="H760" s="64"/>
      <c r="I760" s="13"/>
      <c r="J760" s="64"/>
      <c r="K760" s="63"/>
      <c r="L760" s="63"/>
      <c r="M760" s="64"/>
      <c r="N760" s="13"/>
      <c r="Q760" s="26" t="s">
        <v>422</v>
      </c>
      <c r="R760" s="26"/>
      <c r="S760" s="65"/>
      <c r="T760" s="65"/>
      <c r="U760" s="13"/>
    </row>
    <row r="761">
      <c r="B761" s="51"/>
      <c r="C761" s="62"/>
      <c r="D761" s="13"/>
      <c r="E761" s="64"/>
      <c r="F761" s="64"/>
      <c r="G761" s="64"/>
      <c r="H761" s="64"/>
      <c r="I761" s="13"/>
      <c r="J761" s="64"/>
      <c r="K761" s="63"/>
      <c r="L761" s="63"/>
      <c r="M761" s="64"/>
      <c r="N761" s="13"/>
      <c r="Q761" s="26" t="s">
        <v>422</v>
      </c>
      <c r="R761" s="26"/>
      <c r="S761" s="65"/>
      <c r="T761" s="65"/>
      <c r="U761" s="13"/>
    </row>
    <row r="762">
      <c r="B762" s="51"/>
      <c r="C762" s="62"/>
      <c r="D762" s="13"/>
      <c r="E762" s="64"/>
      <c r="F762" s="64"/>
      <c r="G762" s="64"/>
      <c r="H762" s="64"/>
      <c r="I762" s="13"/>
      <c r="J762" s="64"/>
      <c r="K762" s="63"/>
      <c r="L762" s="63"/>
      <c r="M762" s="64"/>
      <c r="N762" s="13"/>
      <c r="Q762" s="26" t="s">
        <v>422</v>
      </c>
      <c r="R762" s="26"/>
      <c r="S762" s="65"/>
      <c r="T762" s="65"/>
      <c r="U762" s="13"/>
    </row>
    <row r="763">
      <c r="B763" s="51"/>
      <c r="C763" s="62"/>
      <c r="D763" s="13"/>
      <c r="E763" s="64"/>
      <c r="F763" s="64"/>
      <c r="G763" s="64"/>
      <c r="H763" s="64"/>
      <c r="I763" s="13"/>
      <c r="J763" s="64"/>
      <c r="K763" s="63"/>
      <c r="L763" s="63"/>
      <c r="M763" s="64"/>
      <c r="N763" s="13"/>
      <c r="Q763" s="26" t="s">
        <v>422</v>
      </c>
      <c r="R763" s="26"/>
      <c r="S763" s="65"/>
      <c r="T763" s="65"/>
      <c r="U763" s="13"/>
    </row>
    <row r="764">
      <c r="B764" s="51"/>
      <c r="C764" s="62"/>
      <c r="D764" s="13"/>
      <c r="E764" s="64"/>
      <c r="F764" s="64"/>
      <c r="G764" s="64"/>
      <c r="H764" s="64"/>
      <c r="I764" s="13"/>
      <c r="J764" s="64"/>
      <c r="K764" s="63"/>
      <c r="L764" s="63"/>
      <c r="M764" s="64"/>
      <c r="N764" s="13"/>
      <c r="Q764" s="26" t="s">
        <v>422</v>
      </c>
      <c r="R764" s="26"/>
      <c r="S764" s="65"/>
      <c r="T764" s="65"/>
      <c r="U764" s="13"/>
    </row>
    <row r="765">
      <c r="B765" s="51"/>
      <c r="C765" s="62"/>
      <c r="D765" s="13"/>
      <c r="E765" s="64"/>
      <c r="F765" s="64"/>
      <c r="G765" s="64"/>
      <c r="H765" s="64"/>
      <c r="I765" s="13"/>
      <c r="J765" s="64"/>
      <c r="K765" s="63"/>
      <c r="L765" s="63"/>
      <c r="M765" s="64"/>
      <c r="N765" s="13"/>
      <c r="Q765" s="26" t="s">
        <v>422</v>
      </c>
      <c r="R765" s="26"/>
      <c r="S765" s="65"/>
      <c r="T765" s="65"/>
      <c r="U765" s="13"/>
    </row>
    <row r="766">
      <c r="B766" s="51"/>
      <c r="C766" s="62"/>
      <c r="D766" s="13"/>
      <c r="E766" s="64"/>
      <c r="F766" s="64"/>
      <c r="G766" s="64"/>
      <c r="H766" s="64"/>
      <c r="I766" s="13"/>
      <c r="J766" s="64"/>
      <c r="K766" s="63"/>
      <c r="L766" s="63"/>
      <c r="M766" s="64"/>
      <c r="N766" s="13"/>
      <c r="Q766" s="26" t="s">
        <v>422</v>
      </c>
      <c r="R766" s="26"/>
      <c r="S766" s="65"/>
      <c r="T766" s="65"/>
      <c r="U766" s="13"/>
    </row>
    <row r="767">
      <c r="B767" s="51"/>
      <c r="C767" s="62"/>
      <c r="D767" s="13"/>
      <c r="E767" s="64"/>
      <c r="F767" s="64"/>
      <c r="G767" s="64"/>
      <c r="H767" s="64"/>
      <c r="I767" s="13"/>
      <c r="J767" s="64"/>
      <c r="K767" s="63"/>
      <c r="L767" s="63"/>
      <c r="M767" s="64"/>
      <c r="N767" s="13"/>
      <c r="Q767" s="26" t="s">
        <v>422</v>
      </c>
      <c r="R767" s="26"/>
      <c r="S767" s="65"/>
      <c r="T767" s="65"/>
      <c r="U767" s="13"/>
    </row>
    <row r="768">
      <c r="B768" s="51"/>
      <c r="C768" s="62"/>
      <c r="D768" s="13"/>
      <c r="E768" s="64"/>
      <c r="F768" s="64"/>
      <c r="G768" s="64"/>
      <c r="H768" s="64"/>
      <c r="I768" s="13"/>
      <c r="J768" s="64"/>
      <c r="K768" s="63"/>
      <c r="L768" s="63"/>
      <c r="M768" s="64"/>
      <c r="N768" s="13"/>
      <c r="Q768" s="26" t="s">
        <v>422</v>
      </c>
      <c r="R768" s="26"/>
      <c r="S768" s="65"/>
      <c r="T768" s="65"/>
      <c r="U768" s="13"/>
    </row>
    <row r="769">
      <c r="B769" s="51"/>
      <c r="C769" s="62"/>
      <c r="D769" s="13"/>
      <c r="E769" s="64"/>
      <c r="F769" s="64"/>
      <c r="G769" s="64"/>
      <c r="H769" s="64"/>
      <c r="I769" s="13"/>
      <c r="J769" s="64"/>
      <c r="K769" s="63"/>
      <c r="L769" s="63"/>
      <c r="M769" s="64"/>
      <c r="N769" s="13"/>
      <c r="Q769" s="26" t="s">
        <v>422</v>
      </c>
      <c r="R769" s="26"/>
      <c r="S769" s="65"/>
      <c r="T769" s="65"/>
      <c r="U769" s="13"/>
    </row>
    <row r="770">
      <c r="B770" s="51"/>
      <c r="C770" s="62"/>
      <c r="D770" s="13"/>
      <c r="E770" s="64"/>
      <c r="F770" s="64"/>
      <c r="G770" s="64"/>
      <c r="H770" s="64"/>
      <c r="I770" s="13"/>
      <c r="J770" s="64"/>
      <c r="K770" s="63"/>
      <c r="L770" s="63"/>
      <c r="M770" s="64"/>
      <c r="N770" s="13"/>
      <c r="Q770" s="26" t="s">
        <v>422</v>
      </c>
      <c r="R770" s="26"/>
      <c r="S770" s="65"/>
      <c r="T770" s="65"/>
      <c r="U770" s="13"/>
    </row>
    <row r="771">
      <c r="B771" s="51"/>
      <c r="C771" s="62"/>
      <c r="D771" s="13"/>
      <c r="E771" s="64"/>
      <c r="F771" s="64"/>
      <c r="G771" s="64"/>
      <c r="H771" s="64"/>
      <c r="I771" s="13"/>
      <c r="J771" s="64"/>
      <c r="K771" s="63"/>
      <c r="L771" s="63"/>
      <c r="M771" s="64"/>
      <c r="N771" s="13"/>
      <c r="Q771" s="26" t="s">
        <v>422</v>
      </c>
      <c r="R771" s="26"/>
      <c r="S771" s="65"/>
      <c r="T771" s="65"/>
      <c r="U771" s="13"/>
    </row>
    <row r="772">
      <c r="B772" s="51"/>
      <c r="C772" s="62"/>
      <c r="D772" s="13"/>
      <c r="E772" s="64"/>
      <c r="F772" s="64"/>
      <c r="G772" s="64"/>
      <c r="H772" s="64"/>
      <c r="I772" s="13"/>
      <c r="J772" s="64"/>
      <c r="K772" s="63"/>
      <c r="L772" s="63"/>
      <c r="M772" s="64"/>
      <c r="N772" s="13"/>
      <c r="Q772" s="26" t="s">
        <v>422</v>
      </c>
      <c r="R772" s="26"/>
      <c r="S772" s="65"/>
      <c r="T772" s="65"/>
      <c r="U772" s="13"/>
    </row>
    <row r="773">
      <c r="B773" s="51"/>
      <c r="C773" s="62"/>
      <c r="D773" s="13"/>
      <c r="E773" s="64"/>
      <c r="F773" s="64"/>
      <c r="G773" s="64"/>
      <c r="H773" s="64"/>
      <c r="I773" s="13"/>
      <c r="J773" s="64"/>
      <c r="K773" s="63"/>
      <c r="L773" s="63"/>
      <c r="M773" s="64"/>
      <c r="N773" s="13"/>
      <c r="Q773" s="26" t="s">
        <v>422</v>
      </c>
      <c r="R773" s="26"/>
      <c r="S773" s="65"/>
      <c r="T773" s="65"/>
      <c r="U773" s="13"/>
    </row>
    <row r="774">
      <c r="B774" s="51"/>
      <c r="C774" s="62"/>
      <c r="D774" s="13"/>
      <c r="E774" s="64"/>
      <c r="F774" s="64"/>
      <c r="G774" s="64"/>
      <c r="H774" s="64"/>
      <c r="I774" s="13"/>
      <c r="J774" s="64"/>
      <c r="K774" s="63"/>
      <c r="L774" s="63"/>
      <c r="M774" s="64"/>
      <c r="N774" s="13"/>
      <c r="Q774" s="26" t="s">
        <v>422</v>
      </c>
      <c r="R774" s="26"/>
      <c r="S774" s="65"/>
      <c r="T774" s="65"/>
      <c r="U774" s="13"/>
    </row>
    <row r="775">
      <c r="B775" s="51"/>
      <c r="C775" s="62"/>
      <c r="D775" s="13"/>
      <c r="E775" s="64"/>
      <c r="F775" s="64"/>
      <c r="G775" s="64"/>
      <c r="H775" s="64"/>
      <c r="I775" s="13"/>
      <c r="J775" s="64"/>
      <c r="K775" s="63"/>
      <c r="L775" s="63"/>
      <c r="M775" s="64"/>
      <c r="N775" s="13"/>
      <c r="Q775" s="26" t="s">
        <v>422</v>
      </c>
      <c r="R775" s="26"/>
      <c r="S775" s="65"/>
      <c r="T775" s="65"/>
      <c r="U775" s="13"/>
    </row>
    <row r="776">
      <c r="B776" s="51"/>
      <c r="C776" s="62"/>
      <c r="D776" s="13"/>
      <c r="E776" s="64"/>
      <c r="F776" s="64"/>
      <c r="G776" s="64"/>
      <c r="H776" s="64"/>
      <c r="I776" s="13"/>
      <c r="J776" s="64"/>
      <c r="K776" s="63"/>
      <c r="L776" s="63"/>
      <c r="M776" s="64"/>
      <c r="N776" s="13"/>
      <c r="Q776" s="26" t="s">
        <v>422</v>
      </c>
      <c r="R776" s="26"/>
      <c r="S776" s="65"/>
      <c r="T776" s="65"/>
      <c r="U776" s="13"/>
    </row>
    <row r="777">
      <c r="B777" s="51"/>
      <c r="C777" s="62"/>
      <c r="D777" s="13"/>
      <c r="E777" s="64"/>
      <c r="F777" s="64"/>
      <c r="G777" s="64"/>
      <c r="H777" s="64"/>
      <c r="I777" s="13"/>
      <c r="J777" s="64"/>
      <c r="K777" s="63"/>
      <c r="L777" s="63"/>
      <c r="M777" s="64"/>
      <c r="N777" s="13"/>
      <c r="Q777" s="26" t="s">
        <v>422</v>
      </c>
      <c r="R777" s="26"/>
      <c r="S777" s="65"/>
      <c r="T777" s="65"/>
      <c r="U777" s="13"/>
    </row>
    <row r="778">
      <c r="B778" s="51"/>
      <c r="C778" s="62"/>
      <c r="D778" s="13"/>
      <c r="E778" s="64"/>
      <c r="F778" s="64"/>
      <c r="G778" s="64"/>
      <c r="H778" s="64"/>
      <c r="I778" s="13"/>
      <c r="J778" s="64"/>
      <c r="K778" s="63"/>
      <c r="L778" s="63"/>
      <c r="M778" s="64"/>
      <c r="N778" s="13"/>
      <c r="Q778" s="26" t="s">
        <v>422</v>
      </c>
      <c r="R778" s="26"/>
      <c r="S778" s="65"/>
      <c r="T778" s="65"/>
      <c r="U778" s="13"/>
    </row>
    <row r="779">
      <c r="B779" s="51"/>
      <c r="C779" s="62"/>
      <c r="D779" s="13"/>
      <c r="E779" s="64"/>
      <c r="F779" s="64"/>
      <c r="G779" s="64"/>
      <c r="H779" s="64"/>
      <c r="I779" s="13"/>
      <c r="J779" s="64"/>
      <c r="K779" s="63"/>
      <c r="L779" s="63"/>
      <c r="M779" s="64"/>
      <c r="N779" s="13"/>
      <c r="Q779" s="26" t="s">
        <v>422</v>
      </c>
      <c r="R779" s="26"/>
      <c r="S779" s="65"/>
      <c r="T779" s="65"/>
      <c r="U779" s="13"/>
    </row>
    <row r="780">
      <c r="B780" s="51"/>
      <c r="C780" s="62"/>
      <c r="D780" s="13"/>
      <c r="E780" s="64"/>
      <c r="F780" s="64"/>
      <c r="G780" s="64"/>
      <c r="H780" s="64"/>
      <c r="I780" s="13"/>
      <c r="J780" s="64"/>
      <c r="K780" s="63"/>
      <c r="L780" s="63"/>
      <c r="M780" s="64"/>
      <c r="N780" s="13"/>
      <c r="Q780" s="26" t="s">
        <v>422</v>
      </c>
      <c r="R780" s="26"/>
      <c r="S780" s="65"/>
      <c r="T780" s="65"/>
      <c r="U780" s="13"/>
    </row>
    <row r="781">
      <c r="B781" s="51"/>
      <c r="C781" s="62"/>
      <c r="D781" s="13"/>
      <c r="E781" s="64"/>
      <c r="F781" s="64"/>
      <c r="G781" s="64"/>
      <c r="H781" s="64"/>
      <c r="I781" s="13"/>
      <c r="J781" s="64"/>
      <c r="K781" s="63"/>
      <c r="L781" s="63"/>
      <c r="M781" s="64"/>
      <c r="N781" s="13"/>
      <c r="Q781" s="26" t="s">
        <v>422</v>
      </c>
      <c r="R781" s="26"/>
      <c r="S781" s="65"/>
      <c r="T781" s="65"/>
      <c r="U781" s="13"/>
    </row>
    <row r="782">
      <c r="B782" s="51"/>
      <c r="C782" s="62"/>
      <c r="D782" s="13"/>
      <c r="E782" s="64"/>
      <c r="F782" s="64"/>
      <c r="G782" s="64"/>
      <c r="H782" s="64"/>
      <c r="I782" s="13"/>
      <c r="J782" s="64"/>
      <c r="K782" s="63"/>
      <c r="L782" s="63"/>
      <c r="M782" s="64"/>
      <c r="N782" s="13"/>
      <c r="Q782" s="26" t="s">
        <v>422</v>
      </c>
      <c r="R782" s="26"/>
      <c r="S782" s="65"/>
      <c r="T782" s="65"/>
      <c r="U782" s="13"/>
    </row>
    <row r="783">
      <c r="B783" s="51"/>
      <c r="C783" s="62"/>
      <c r="D783" s="13"/>
      <c r="E783" s="64"/>
      <c r="F783" s="64"/>
      <c r="G783" s="64"/>
      <c r="H783" s="64"/>
      <c r="I783" s="13"/>
      <c r="J783" s="64"/>
      <c r="K783" s="63"/>
      <c r="L783" s="63"/>
      <c r="M783" s="64"/>
      <c r="N783" s="13"/>
      <c r="Q783" s="26" t="s">
        <v>422</v>
      </c>
      <c r="R783" s="26"/>
      <c r="S783" s="65"/>
      <c r="T783" s="65"/>
      <c r="U783" s="13"/>
    </row>
    <row r="784">
      <c r="B784" s="51"/>
      <c r="C784" s="62"/>
      <c r="D784" s="13"/>
      <c r="E784" s="64"/>
      <c r="F784" s="64"/>
      <c r="G784" s="64"/>
      <c r="H784" s="64"/>
      <c r="I784" s="13"/>
      <c r="J784" s="64"/>
      <c r="K784" s="63"/>
      <c r="L784" s="63"/>
      <c r="M784" s="64"/>
      <c r="N784" s="13"/>
      <c r="Q784" s="26" t="s">
        <v>422</v>
      </c>
      <c r="R784" s="26"/>
      <c r="S784" s="65"/>
      <c r="T784" s="65"/>
      <c r="U784" s="13"/>
    </row>
    <row r="785">
      <c r="B785" s="51"/>
      <c r="C785" s="62"/>
      <c r="D785" s="13"/>
      <c r="E785" s="64"/>
      <c r="F785" s="64"/>
      <c r="G785" s="64"/>
      <c r="H785" s="64"/>
      <c r="I785" s="13"/>
      <c r="J785" s="64"/>
      <c r="K785" s="63"/>
      <c r="L785" s="63"/>
      <c r="M785" s="64"/>
      <c r="N785" s="13"/>
      <c r="Q785" s="26" t="s">
        <v>422</v>
      </c>
      <c r="R785" s="26"/>
      <c r="S785" s="65"/>
      <c r="T785" s="65"/>
      <c r="U785" s="13"/>
    </row>
    <row r="786">
      <c r="B786" s="51"/>
      <c r="C786" s="62"/>
      <c r="D786" s="13"/>
      <c r="E786" s="64"/>
      <c r="F786" s="64"/>
      <c r="G786" s="64"/>
      <c r="H786" s="64"/>
      <c r="I786" s="13"/>
      <c r="J786" s="64"/>
      <c r="K786" s="63"/>
      <c r="L786" s="63"/>
      <c r="M786" s="64"/>
      <c r="N786" s="13"/>
      <c r="Q786" s="26" t="s">
        <v>422</v>
      </c>
      <c r="R786" s="26"/>
      <c r="S786" s="65"/>
      <c r="T786" s="65"/>
      <c r="U786" s="13"/>
    </row>
    <row r="787">
      <c r="B787" s="51"/>
      <c r="C787" s="62"/>
      <c r="D787" s="13"/>
      <c r="E787" s="64"/>
      <c r="F787" s="64"/>
      <c r="G787" s="64"/>
      <c r="H787" s="64"/>
      <c r="I787" s="13"/>
      <c r="J787" s="64"/>
      <c r="K787" s="63"/>
      <c r="L787" s="63"/>
      <c r="M787" s="64"/>
      <c r="N787" s="13"/>
      <c r="Q787" s="26" t="s">
        <v>422</v>
      </c>
      <c r="R787" s="26"/>
      <c r="S787" s="65"/>
      <c r="T787" s="65"/>
      <c r="U787" s="13"/>
    </row>
    <row r="788">
      <c r="B788" s="51"/>
      <c r="C788" s="62"/>
      <c r="D788" s="13"/>
      <c r="E788" s="64"/>
      <c r="F788" s="64"/>
      <c r="G788" s="64"/>
      <c r="H788" s="64"/>
      <c r="I788" s="13"/>
      <c r="J788" s="64"/>
      <c r="K788" s="63"/>
      <c r="L788" s="63"/>
      <c r="M788" s="64"/>
      <c r="N788" s="13"/>
      <c r="Q788" s="26" t="s">
        <v>422</v>
      </c>
      <c r="R788" s="26"/>
      <c r="S788" s="65"/>
      <c r="T788" s="65"/>
      <c r="U788" s="13"/>
    </row>
    <row r="789">
      <c r="B789" s="51"/>
      <c r="C789" s="62"/>
      <c r="D789" s="13"/>
      <c r="E789" s="64"/>
      <c r="F789" s="64"/>
      <c r="G789" s="64"/>
      <c r="H789" s="64"/>
      <c r="I789" s="13"/>
      <c r="J789" s="64"/>
      <c r="K789" s="63"/>
      <c r="L789" s="63"/>
      <c r="M789" s="64"/>
      <c r="N789" s="13"/>
      <c r="Q789" s="26" t="s">
        <v>422</v>
      </c>
      <c r="R789" s="26"/>
      <c r="S789" s="65"/>
      <c r="T789" s="65"/>
      <c r="U789" s="13"/>
    </row>
    <row r="790">
      <c r="B790" s="51"/>
      <c r="C790" s="62"/>
      <c r="D790" s="13"/>
      <c r="E790" s="64"/>
      <c r="F790" s="64"/>
      <c r="G790" s="64"/>
      <c r="H790" s="64"/>
      <c r="I790" s="13"/>
      <c r="J790" s="64"/>
      <c r="K790" s="63"/>
      <c r="L790" s="63"/>
      <c r="M790" s="64"/>
      <c r="N790" s="13"/>
      <c r="Q790" s="26" t="s">
        <v>422</v>
      </c>
      <c r="R790" s="26"/>
      <c r="S790" s="65"/>
      <c r="T790" s="65"/>
      <c r="U790" s="13"/>
    </row>
    <row r="791">
      <c r="B791" s="51"/>
      <c r="C791" s="62"/>
      <c r="D791" s="13"/>
      <c r="E791" s="64"/>
      <c r="F791" s="64"/>
      <c r="G791" s="64"/>
      <c r="H791" s="64"/>
      <c r="I791" s="13"/>
      <c r="J791" s="64"/>
      <c r="K791" s="63"/>
      <c r="L791" s="63"/>
      <c r="M791" s="64"/>
      <c r="N791" s="13"/>
      <c r="Q791" s="26" t="s">
        <v>422</v>
      </c>
      <c r="R791" s="26"/>
      <c r="S791" s="65"/>
      <c r="T791" s="65"/>
      <c r="U791" s="13"/>
    </row>
    <row r="792">
      <c r="B792" s="51"/>
      <c r="C792" s="62"/>
      <c r="D792" s="13"/>
      <c r="E792" s="64"/>
      <c r="F792" s="64"/>
      <c r="G792" s="64"/>
      <c r="H792" s="64"/>
      <c r="I792" s="13"/>
      <c r="J792" s="64"/>
      <c r="K792" s="63"/>
      <c r="L792" s="63"/>
      <c r="M792" s="64"/>
      <c r="N792" s="13"/>
      <c r="Q792" s="26" t="s">
        <v>422</v>
      </c>
      <c r="R792" s="26"/>
      <c r="S792" s="65"/>
      <c r="T792" s="65"/>
      <c r="U792" s="13"/>
    </row>
    <row r="793">
      <c r="B793" s="51"/>
      <c r="C793" s="62"/>
      <c r="D793" s="13"/>
      <c r="E793" s="64"/>
      <c r="F793" s="64"/>
      <c r="G793" s="64"/>
      <c r="H793" s="64"/>
      <c r="I793" s="13"/>
      <c r="J793" s="64"/>
      <c r="K793" s="63"/>
      <c r="L793" s="63"/>
      <c r="M793" s="64"/>
      <c r="N793" s="13"/>
      <c r="Q793" s="26" t="s">
        <v>422</v>
      </c>
      <c r="R793" s="26"/>
      <c r="S793" s="65"/>
      <c r="T793" s="65"/>
      <c r="U793" s="13"/>
    </row>
    <row r="794">
      <c r="B794" s="51"/>
      <c r="C794" s="62"/>
      <c r="D794" s="13"/>
      <c r="E794" s="64"/>
      <c r="F794" s="64"/>
      <c r="G794" s="64"/>
      <c r="H794" s="64"/>
      <c r="I794" s="13"/>
      <c r="J794" s="64"/>
      <c r="K794" s="63"/>
      <c r="L794" s="63"/>
      <c r="M794" s="64"/>
      <c r="N794" s="13"/>
      <c r="Q794" s="26" t="s">
        <v>422</v>
      </c>
      <c r="R794" s="26"/>
      <c r="S794" s="65"/>
      <c r="T794" s="65"/>
      <c r="U794" s="13"/>
    </row>
    <row r="795">
      <c r="B795" s="51"/>
      <c r="C795" s="62"/>
      <c r="D795" s="13"/>
      <c r="E795" s="64"/>
      <c r="F795" s="64"/>
      <c r="G795" s="64"/>
      <c r="H795" s="64"/>
      <c r="I795" s="13"/>
      <c r="J795" s="64"/>
      <c r="K795" s="63"/>
      <c r="L795" s="63"/>
      <c r="M795" s="64"/>
      <c r="N795" s="13"/>
      <c r="Q795" s="26" t="s">
        <v>422</v>
      </c>
      <c r="R795" s="26"/>
      <c r="S795" s="65"/>
      <c r="T795" s="65"/>
      <c r="U795" s="13"/>
    </row>
    <row r="796">
      <c r="B796" s="51"/>
      <c r="C796" s="62"/>
      <c r="D796" s="13"/>
      <c r="E796" s="64"/>
      <c r="F796" s="64"/>
      <c r="G796" s="64"/>
      <c r="H796" s="64"/>
      <c r="I796" s="13"/>
      <c r="J796" s="64"/>
      <c r="K796" s="63"/>
      <c r="L796" s="63"/>
      <c r="M796" s="64"/>
      <c r="N796" s="13"/>
      <c r="Q796" s="26" t="s">
        <v>422</v>
      </c>
      <c r="R796" s="26"/>
      <c r="S796" s="65"/>
      <c r="T796" s="65"/>
      <c r="U796" s="13"/>
    </row>
    <row r="797">
      <c r="B797" s="51"/>
      <c r="C797" s="62"/>
      <c r="D797" s="13"/>
      <c r="E797" s="64"/>
      <c r="F797" s="64"/>
      <c r="G797" s="64"/>
      <c r="H797" s="64"/>
      <c r="I797" s="13"/>
      <c r="J797" s="64"/>
      <c r="K797" s="63"/>
      <c r="L797" s="63"/>
      <c r="M797" s="64"/>
      <c r="N797" s="13"/>
      <c r="Q797" s="26" t="s">
        <v>422</v>
      </c>
      <c r="R797" s="26"/>
      <c r="S797" s="65"/>
      <c r="T797" s="65"/>
      <c r="U797" s="13"/>
    </row>
    <row r="798">
      <c r="B798" s="51"/>
      <c r="C798" s="62"/>
      <c r="D798" s="13"/>
      <c r="E798" s="64"/>
      <c r="F798" s="64"/>
      <c r="G798" s="64"/>
      <c r="H798" s="64"/>
      <c r="I798" s="13"/>
      <c r="J798" s="64"/>
      <c r="K798" s="63"/>
      <c r="L798" s="63"/>
      <c r="M798" s="64"/>
      <c r="N798" s="13"/>
      <c r="Q798" s="26" t="s">
        <v>422</v>
      </c>
      <c r="R798" s="26"/>
      <c r="S798" s="65"/>
      <c r="T798" s="65"/>
      <c r="U798" s="13"/>
    </row>
    <row r="799">
      <c r="B799" s="51"/>
      <c r="C799" s="62"/>
      <c r="D799" s="13"/>
      <c r="E799" s="64"/>
      <c r="F799" s="64"/>
      <c r="G799" s="64"/>
      <c r="H799" s="64"/>
      <c r="I799" s="13"/>
      <c r="J799" s="64"/>
      <c r="K799" s="63"/>
      <c r="L799" s="63"/>
      <c r="M799" s="64"/>
      <c r="N799" s="13"/>
      <c r="Q799" s="26" t="s">
        <v>422</v>
      </c>
      <c r="R799" s="26"/>
      <c r="S799" s="65"/>
      <c r="T799" s="65"/>
      <c r="U799" s="13"/>
    </row>
    <row r="800">
      <c r="B800" s="51"/>
      <c r="C800" s="62"/>
      <c r="D800" s="13"/>
      <c r="E800" s="64"/>
      <c r="F800" s="64"/>
      <c r="G800" s="64"/>
      <c r="H800" s="64"/>
      <c r="I800" s="13"/>
      <c r="J800" s="64"/>
      <c r="K800" s="63"/>
      <c r="L800" s="63"/>
      <c r="M800" s="64"/>
      <c r="N800" s="13"/>
      <c r="Q800" s="26" t="s">
        <v>422</v>
      </c>
      <c r="R800" s="26"/>
      <c r="S800" s="65"/>
      <c r="T800" s="65"/>
      <c r="U800" s="13"/>
    </row>
    <row r="801">
      <c r="B801" s="51"/>
      <c r="C801" s="62"/>
      <c r="D801" s="13"/>
      <c r="E801" s="64"/>
      <c r="F801" s="64"/>
      <c r="G801" s="64"/>
      <c r="H801" s="64"/>
      <c r="I801" s="13"/>
      <c r="J801" s="64"/>
      <c r="K801" s="63"/>
      <c r="L801" s="63"/>
      <c r="M801" s="64"/>
      <c r="N801" s="13"/>
      <c r="Q801" s="26" t="s">
        <v>422</v>
      </c>
      <c r="R801" s="26"/>
      <c r="S801" s="65"/>
      <c r="T801" s="65"/>
      <c r="U801" s="13"/>
    </row>
    <row r="802">
      <c r="B802" s="51"/>
      <c r="C802" s="62"/>
      <c r="D802" s="13"/>
      <c r="E802" s="64"/>
      <c r="F802" s="64"/>
      <c r="G802" s="64"/>
      <c r="H802" s="64"/>
      <c r="I802" s="13"/>
      <c r="J802" s="64"/>
      <c r="K802" s="63"/>
      <c r="L802" s="63"/>
      <c r="M802" s="64"/>
      <c r="N802" s="13"/>
      <c r="Q802" s="26" t="s">
        <v>422</v>
      </c>
      <c r="R802" s="26"/>
      <c r="S802" s="65"/>
      <c r="T802" s="65"/>
      <c r="U802" s="13"/>
    </row>
    <row r="803">
      <c r="B803" s="51"/>
      <c r="C803" s="62"/>
      <c r="D803" s="13"/>
      <c r="E803" s="64"/>
      <c r="F803" s="64"/>
      <c r="G803" s="64"/>
      <c r="H803" s="64"/>
      <c r="I803" s="13"/>
      <c r="J803" s="64"/>
      <c r="K803" s="63"/>
      <c r="L803" s="63"/>
      <c r="M803" s="64"/>
      <c r="N803" s="13"/>
      <c r="Q803" s="26" t="s">
        <v>422</v>
      </c>
      <c r="R803" s="26"/>
      <c r="S803" s="65"/>
      <c r="T803" s="65"/>
      <c r="U803" s="13"/>
    </row>
    <row r="804">
      <c r="B804" s="51"/>
      <c r="C804" s="62"/>
      <c r="D804" s="13"/>
      <c r="E804" s="64"/>
      <c r="F804" s="64"/>
      <c r="G804" s="64"/>
      <c r="H804" s="64"/>
      <c r="I804" s="13"/>
      <c r="J804" s="64"/>
      <c r="K804" s="63"/>
      <c r="L804" s="63"/>
      <c r="M804" s="64"/>
      <c r="N804" s="13"/>
      <c r="Q804" s="26" t="s">
        <v>422</v>
      </c>
      <c r="R804" s="26"/>
      <c r="S804" s="65"/>
      <c r="T804" s="65"/>
      <c r="U804" s="13"/>
    </row>
    <row r="805">
      <c r="B805" s="51"/>
      <c r="C805" s="62"/>
      <c r="D805" s="13"/>
      <c r="E805" s="64"/>
      <c r="F805" s="64"/>
      <c r="G805" s="64"/>
      <c r="H805" s="64"/>
      <c r="I805" s="13"/>
      <c r="J805" s="64"/>
      <c r="K805" s="63"/>
      <c r="L805" s="63"/>
      <c r="M805" s="64"/>
      <c r="N805" s="13"/>
      <c r="Q805" s="26" t="s">
        <v>422</v>
      </c>
      <c r="R805" s="26"/>
      <c r="S805" s="65"/>
      <c r="T805" s="65"/>
      <c r="U805" s="13"/>
    </row>
    <row r="806">
      <c r="B806" s="51"/>
      <c r="C806" s="62"/>
      <c r="D806" s="13"/>
      <c r="E806" s="64"/>
      <c r="F806" s="64"/>
      <c r="G806" s="64"/>
      <c r="H806" s="64"/>
      <c r="I806" s="13"/>
      <c r="J806" s="64"/>
      <c r="K806" s="63"/>
      <c r="L806" s="63"/>
      <c r="M806" s="64"/>
      <c r="N806" s="13"/>
      <c r="Q806" s="26" t="s">
        <v>422</v>
      </c>
      <c r="R806" s="26"/>
      <c r="S806" s="65"/>
      <c r="T806" s="65"/>
      <c r="U806" s="13"/>
    </row>
    <row r="807">
      <c r="B807" s="51"/>
      <c r="C807" s="62"/>
      <c r="D807" s="13"/>
      <c r="E807" s="64"/>
      <c r="F807" s="64"/>
      <c r="G807" s="64"/>
      <c r="H807" s="64"/>
      <c r="I807" s="13"/>
      <c r="J807" s="64"/>
      <c r="K807" s="63"/>
      <c r="L807" s="63"/>
      <c r="M807" s="64"/>
      <c r="N807" s="13"/>
      <c r="Q807" s="26" t="s">
        <v>422</v>
      </c>
      <c r="R807" s="26"/>
      <c r="S807" s="65"/>
      <c r="T807" s="65"/>
      <c r="U807" s="13"/>
    </row>
    <row r="808">
      <c r="B808" s="51"/>
      <c r="C808" s="62"/>
      <c r="D808" s="13"/>
      <c r="E808" s="64"/>
      <c r="F808" s="64"/>
      <c r="G808" s="13"/>
      <c r="H808" s="64"/>
      <c r="I808" s="13"/>
      <c r="J808" s="64"/>
      <c r="K808" s="63"/>
      <c r="L808" s="63"/>
      <c r="M808" s="64"/>
      <c r="N808" s="13"/>
      <c r="Q808" s="26" t="s">
        <v>422</v>
      </c>
      <c r="R808" s="26"/>
      <c r="S808" s="65"/>
      <c r="T808" s="65"/>
      <c r="U808" s="13"/>
    </row>
    <row r="809">
      <c r="B809" s="51"/>
      <c r="C809" s="62"/>
      <c r="D809" s="13"/>
      <c r="E809" s="64"/>
      <c r="F809" s="64"/>
      <c r="G809" s="13"/>
      <c r="H809" s="64"/>
      <c r="I809" s="13"/>
      <c r="J809" s="64"/>
      <c r="K809" s="63"/>
      <c r="L809" s="63"/>
      <c r="M809" s="64"/>
      <c r="N809" s="13"/>
      <c r="Q809" s="26" t="s">
        <v>422</v>
      </c>
      <c r="R809" s="26"/>
      <c r="S809" s="65"/>
      <c r="T809" s="65"/>
      <c r="U809" s="13"/>
    </row>
    <row r="810">
      <c r="B810" s="51"/>
      <c r="C810" s="62"/>
      <c r="D810" s="13"/>
      <c r="E810" s="64"/>
      <c r="F810" s="64"/>
      <c r="G810" s="13"/>
      <c r="H810" s="64"/>
      <c r="I810" s="13"/>
      <c r="J810" s="64"/>
      <c r="K810" s="63"/>
      <c r="L810" s="63"/>
      <c r="M810" s="64"/>
      <c r="N810" s="13"/>
      <c r="Q810" s="26" t="s">
        <v>422</v>
      </c>
      <c r="R810" s="26"/>
      <c r="S810" s="65"/>
      <c r="T810" s="65"/>
      <c r="U810" s="13"/>
    </row>
    <row r="811">
      <c r="B811" s="51"/>
      <c r="C811" s="62"/>
      <c r="D811" s="13"/>
      <c r="E811" s="64"/>
      <c r="F811" s="64"/>
      <c r="G811" s="13"/>
      <c r="H811" s="64"/>
      <c r="I811" s="13"/>
      <c r="J811" s="64"/>
      <c r="K811" s="63"/>
      <c r="L811" s="63"/>
      <c r="M811" s="64"/>
      <c r="N811" s="13"/>
      <c r="Q811" s="26" t="s">
        <v>422</v>
      </c>
      <c r="R811" s="26"/>
      <c r="S811" s="65"/>
      <c r="T811" s="65"/>
      <c r="U811" s="13"/>
    </row>
    <row r="812">
      <c r="B812" s="51"/>
      <c r="C812" s="62"/>
      <c r="D812" s="13"/>
      <c r="E812" s="64"/>
      <c r="F812" s="64"/>
      <c r="G812" s="13"/>
      <c r="H812" s="64"/>
      <c r="I812" s="13"/>
      <c r="J812" s="64"/>
      <c r="K812" s="63"/>
      <c r="L812" s="63"/>
      <c r="M812" s="64"/>
      <c r="N812" s="13"/>
      <c r="Q812" s="26" t="s">
        <v>422</v>
      </c>
      <c r="R812" s="26"/>
      <c r="S812" s="65"/>
      <c r="T812" s="65"/>
      <c r="U812" s="13"/>
    </row>
    <row r="813">
      <c r="B813" s="51"/>
      <c r="C813" s="62"/>
      <c r="D813" s="13"/>
      <c r="E813" s="64"/>
      <c r="F813" s="64"/>
      <c r="G813" s="13"/>
      <c r="H813" s="64"/>
      <c r="I813" s="13"/>
      <c r="J813" s="64"/>
      <c r="K813" s="63"/>
      <c r="L813" s="63"/>
      <c r="M813" s="64"/>
      <c r="N813" s="13"/>
      <c r="Q813" s="26" t="s">
        <v>422</v>
      </c>
      <c r="R813" s="26"/>
      <c r="S813" s="65"/>
      <c r="T813" s="65"/>
      <c r="U813" s="13"/>
    </row>
    <row r="814">
      <c r="B814" s="51"/>
      <c r="C814" s="62"/>
      <c r="D814" s="13"/>
      <c r="E814" s="64"/>
      <c r="F814" s="64"/>
      <c r="G814" s="13"/>
      <c r="H814" s="64"/>
      <c r="I814" s="13"/>
      <c r="J814" s="64"/>
      <c r="K814" s="63"/>
      <c r="L814" s="63"/>
      <c r="M814" s="64"/>
      <c r="N814" s="13"/>
      <c r="Q814" s="26" t="s">
        <v>422</v>
      </c>
      <c r="R814" s="26"/>
      <c r="S814" s="65"/>
      <c r="T814" s="65"/>
      <c r="U814" s="13"/>
    </row>
    <row r="815">
      <c r="B815" s="51"/>
      <c r="C815" s="62"/>
      <c r="D815" s="13"/>
      <c r="E815" s="64"/>
      <c r="F815" s="64"/>
      <c r="G815" s="13"/>
      <c r="H815" s="64"/>
      <c r="I815" s="13"/>
      <c r="J815" s="64"/>
      <c r="K815" s="63"/>
      <c r="L815" s="63"/>
      <c r="M815" s="64"/>
      <c r="N815" s="13"/>
      <c r="Q815" s="26" t="s">
        <v>422</v>
      </c>
      <c r="R815" s="26"/>
      <c r="S815" s="65"/>
      <c r="T815" s="65"/>
      <c r="U815" s="13"/>
    </row>
    <row r="816">
      <c r="B816" s="51"/>
      <c r="C816" s="62"/>
      <c r="D816" s="13"/>
      <c r="E816" s="64"/>
      <c r="F816" s="64"/>
      <c r="G816" s="13"/>
      <c r="H816" s="64"/>
      <c r="I816" s="13"/>
      <c r="J816" s="64"/>
      <c r="K816" s="63"/>
      <c r="L816" s="63"/>
      <c r="M816" s="64"/>
      <c r="N816" s="13"/>
      <c r="Q816" s="26" t="s">
        <v>422</v>
      </c>
      <c r="R816" s="26"/>
      <c r="S816" s="65"/>
      <c r="T816" s="65"/>
      <c r="U816" s="13"/>
    </row>
    <row r="817">
      <c r="B817" s="51"/>
      <c r="C817" s="62"/>
      <c r="D817" s="13"/>
      <c r="E817" s="64"/>
      <c r="F817" s="64"/>
      <c r="G817" s="13"/>
      <c r="H817" s="64"/>
      <c r="I817" s="13"/>
      <c r="J817" s="64"/>
      <c r="K817" s="63"/>
      <c r="L817" s="63"/>
      <c r="M817" s="64"/>
      <c r="N817" s="13"/>
      <c r="Q817" s="26" t="s">
        <v>422</v>
      </c>
      <c r="R817" s="26"/>
      <c r="S817" s="65"/>
      <c r="T817" s="65"/>
      <c r="U817" s="13"/>
    </row>
    <row r="818">
      <c r="B818" s="51"/>
      <c r="C818" s="62"/>
      <c r="D818" s="13"/>
      <c r="E818" s="64"/>
      <c r="F818" s="64"/>
      <c r="G818" s="13"/>
      <c r="H818" s="64"/>
      <c r="I818" s="13"/>
      <c r="J818" s="64"/>
      <c r="K818" s="63"/>
      <c r="L818" s="63"/>
      <c r="M818" s="64"/>
      <c r="N818" s="13"/>
      <c r="Q818" s="26" t="s">
        <v>422</v>
      </c>
      <c r="R818" s="26"/>
      <c r="S818" s="65"/>
      <c r="T818" s="65"/>
      <c r="U818" s="13"/>
    </row>
    <row r="819">
      <c r="B819" s="51"/>
      <c r="C819" s="62"/>
      <c r="D819" s="13"/>
      <c r="E819" s="64"/>
      <c r="F819" s="64"/>
      <c r="G819" s="13"/>
      <c r="H819" s="64"/>
      <c r="I819" s="13"/>
      <c r="J819" s="64"/>
      <c r="K819" s="63"/>
      <c r="L819" s="63"/>
      <c r="M819" s="64"/>
      <c r="N819" s="13"/>
      <c r="Q819" s="26" t="s">
        <v>422</v>
      </c>
      <c r="R819" s="26"/>
      <c r="S819" s="65"/>
      <c r="T819" s="65"/>
      <c r="U819" s="13"/>
    </row>
    <row r="820">
      <c r="B820" s="51"/>
      <c r="C820" s="62"/>
      <c r="D820" s="13"/>
      <c r="E820" s="64"/>
      <c r="F820" s="64"/>
      <c r="G820" s="13"/>
      <c r="H820" s="64"/>
      <c r="I820" s="13"/>
      <c r="J820" s="64"/>
      <c r="K820" s="63"/>
      <c r="L820" s="63"/>
      <c r="M820" s="64"/>
      <c r="N820" s="13"/>
      <c r="Q820" s="26" t="s">
        <v>422</v>
      </c>
      <c r="R820" s="26"/>
      <c r="S820" s="65"/>
      <c r="T820" s="65"/>
      <c r="U820" s="13"/>
    </row>
    <row r="821">
      <c r="B821" s="51"/>
      <c r="C821" s="62"/>
      <c r="D821" s="13"/>
      <c r="E821" s="64"/>
      <c r="F821" s="64"/>
      <c r="G821" s="13"/>
      <c r="H821" s="64"/>
      <c r="I821" s="13"/>
      <c r="J821" s="64"/>
      <c r="K821" s="63"/>
      <c r="L821" s="63"/>
      <c r="M821" s="64"/>
      <c r="N821" s="13"/>
      <c r="Q821" s="26" t="s">
        <v>422</v>
      </c>
      <c r="R821" s="26"/>
      <c r="S821" s="65"/>
      <c r="T821" s="65"/>
      <c r="U821" s="13"/>
    </row>
    <row r="822">
      <c r="B822" s="51"/>
      <c r="C822" s="62"/>
      <c r="D822" s="13"/>
      <c r="E822" s="64"/>
      <c r="F822" s="64"/>
      <c r="G822" s="13"/>
      <c r="H822" s="64"/>
      <c r="I822" s="13"/>
      <c r="J822" s="64"/>
      <c r="K822" s="63"/>
      <c r="L822" s="63"/>
      <c r="M822" s="64"/>
      <c r="N822" s="13"/>
      <c r="Q822" s="26" t="s">
        <v>422</v>
      </c>
      <c r="R822" s="26"/>
      <c r="S822" s="65"/>
      <c r="T822" s="65"/>
      <c r="U822" s="13"/>
    </row>
    <row r="823">
      <c r="B823" s="51"/>
      <c r="C823" s="62"/>
      <c r="D823" s="13"/>
      <c r="E823" s="64"/>
      <c r="F823" s="64"/>
      <c r="G823" s="13"/>
      <c r="H823" s="64"/>
      <c r="I823" s="13"/>
      <c r="J823" s="64"/>
      <c r="K823" s="63"/>
      <c r="L823" s="63"/>
      <c r="M823" s="64"/>
      <c r="N823" s="13"/>
      <c r="Q823" s="26" t="s">
        <v>422</v>
      </c>
      <c r="R823" s="26"/>
      <c r="S823" s="65"/>
      <c r="T823" s="65"/>
      <c r="U823" s="13"/>
    </row>
    <row r="824">
      <c r="B824" s="51"/>
      <c r="C824" s="62"/>
      <c r="D824" s="13"/>
      <c r="E824" s="64"/>
      <c r="F824" s="64"/>
      <c r="G824" s="13"/>
      <c r="H824" s="64"/>
      <c r="I824" s="13"/>
      <c r="J824" s="64"/>
      <c r="K824" s="63"/>
      <c r="L824" s="63"/>
      <c r="M824" s="64"/>
      <c r="N824" s="13"/>
      <c r="Q824" s="26" t="s">
        <v>422</v>
      </c>
      <c r="R824" s="26"/>
      <c r="S824" s="65"/>
      <c r="T824" s="65"/>
      <c r="U824" s="13"/>
    </row>
    <row r="825">
      <c r="B825" s="51"/>
      <c r="C825" s="62"/>
      <c r="D825" s="13"/>
      <c r="E825" s="64"/>
      <c r="F825" s="64"/>
      <c r="G825" s="13"/>
      <c r="H825" s="64"/>
      <c r="I825" s="13"/>
      <c r="J825" s="64"/>
      <c r="K825" s="63"/>
      <c r="L825" s="63"/>
      <c r="M825" s="64"/>
      <c r="N825" s="13"/>
      <c r="Q825" s="26" t="s">
        <v>422</v>
      </c>
      <c r="R825" s="26"/>
      <c r="S825" s="65"/>
      <c r="T825" s="65"/>
      <c r="U825" s="13"/>
    </row>
    <row r="826">
      <c r="B826" s="51"/>
      <c r="C826" s="62"/>
      <c r="D826" s="13"/>
      <c r="E826" s="64"/>
      <c r="F826" s="64"/>
      <c r="G826" s="13"/>
      <c r="H826" s="64"/>
      <c r="I826" s="13"/>
      <c r="J826" s="64"/>
      <c r="K826" s="63"/>
      <c r="L826" s="63"/>
      <c r="M826" s="64"/>
      <c r="N826" s="13"/>
      <c r="Q826" s="26" t="s">
        <v>422</v>
      </c>
      <c r="R826" s="26"/>
      <c r="S826" s="65"/>
      <c r="T826" s="65"/>
      <c r="U826" s="13"/>
    </row>
    <row r="827">
      <c r="B827" s="51"/>
      <c r="C827" s="62"/>
      <c r="D827" s="13"/>
      <c r="E827" s="64"/>
      <c r="F827" s="64"/>
      <c r="G827" s="13"/>
      <c r="H827" s="64"/>
      <c r="I827" s="13"/>
      <c r="J827" s="64"/>
      <c r="K827" s="63"/>
      <c r="L827" s="63"/>
      <c r="M827" s="64"/>
      <c r="N827" s="13"/>
      <c r="Q827" s="26" t="s">
        <v>422</v>
      </c>
      <c r="R827" s="26"/>
      <c r="S827" s="65"/>
      <c r="T827" s="65"/>
      <c r="U827" s="13"/>
    </row>
    <row r="828">
      <c r="B828" s="51"/>
      <c r="C828" s="62"/>
      <c r="D828" s="13"/>
      <c r="E828" s="64"/>
      <c r="F828" s="64"/>
      <c r="G828" s="13"/>
      <c r="H828" s="64"/>
      <c r="I828" s="13"/>
      <c r="J828" s="64"/>
      <c r="K828" s="63"/>
      <c r="L828" s="63"/>
      <c r="M828" s="64"/>
      <c r="N828" s="13"/>
      <c r="Q828" s="26" t="s">
        <v>422</v>
      </c>
      <c r="R828" s="26"/>
      <c r="S828" s="65"/>
      <c r="T828" s="65"/>
      <c r="U828" s="13"/>
    </row>
    <row r="829">
      <c r="B829" s="51"/>
      <c r="C829" s="62"/>
      <c r="D829" s="13"/>
      <c r="E829" s="64"/>
      <c r="F829" s="64"/>
      <c r="G829" s="13"/>
      <c r="H829" s="64"/>
      <c r="I829" s="13"/>
      <c r="J829" s="64"/>
      <c r="K829" s="63"/>
      <c r="L829" s="63"/>
      <c r="M829" s="64"/>
      <c r="N829" s="13"/>
      <c r="Q829" s="26" t="s">
        <v>422</v>
      </c>
      <c r="R829" s="26"/>
      <c r="S829" s="65"/>
      <c r="T829" s="65"/>
      <c r="U829" s="13"/>
    </row>
    <row r="830">
      <c r="B830" s="51"/>
      <c r="C830" s="62"/>
      <c r="D830" s="13"/>
      <c r="E830" s="64"/>
      <c r="F830" s="64"/>
      <c r="G830" s="13"/>
      <c r="H830" s="64"/>
      <c r="I830" s="13"/>
      <c r="J830" s="64"/>
      <c r="K830" s="63"/>
      <c r="L830" s="63"/>
      <c r="M830" s="64"/>
      <c r="N830" s="13"/>
      <c r="Q830" s="26" t="s">
        <v>422</v>
      </c>
      <c r="R830" s="26"/>
      <c r="S830" s="65"/>
      <c r="T830" s="65"/>
      <c r="U830" s="13"/>
    </row>
    <row r="831">
      <c r="B831" s="51"/>
      <c r="C831" s="62"/>
      <c r="D831" s="13"/>
      <c r="E831" s="64"/>
      <c r="F831" s="64"/>
      <c r="G831" s="13"/>
      <c r="H831" s="64"/>
      <c r="I831" s="13"/>
      <c r="J831" s="64"/>
      <c r="K831" s="63"/>
      <c r="L831" s="63"/>
      <c r="M831" s="64"/>
      <c r="N831" s="13"/>
      <c r="Q831" s="26" t="s">
        <v>422</v>
      </c>
      <c r="R831" s="26"/>
      <c r="S831" s="65"/>
      <c r="T831" s="65"/>
      <c r="U831" s="13"/>
    </row>
    <row r="832">
      <c r="B832" s="51"/>
      <c r="C832" s="62"/>
      <c r="D832" s="13"/>
      <c r="E832" s="64"/>
      <c r="F832" s="64"/>
      <c r="G832" s="13"/>
      <c r="H832" s="64"/>
      <c r="I832" s="13"/>
      <c r="J832" s="64"/>
      <c r="K832" s="63"/>
      <c r="L832" s="63"/>
      <c r="M832" s="64"/>
      <c r="N832" s="13"/>
      <c r="Q832" s="26" t="s">
        <v>422</v>
      </c>
      <c r="R832" s="26"/>
      <c r="S832" s="65"/>
      <c r="T832" s="65"/>
      <c r="U832" s="13"/>
    </row>
    <row r="833">
      <c r="B833" s="51"/>
      <c r="C833" s="62"/>
      <c r="D833" s="13"/>
      <c r="E833" s="64"/>
      <c r="F833" s="64"/>
      <c r="G833" s="13"/>
      <c r="H833" s="64"/>
      <c r="I833" s="13"/>
      <c r="J833" s="64"/>
      <c r="K833" s="63"/>
      <c r="L833" s="63"/>
      <c r="M833" s="64"/>
      <c r="N833" s="13"/>
      <c r="Q833" s="26" t="s">
        <v>422</v>
      </c>
      <c r="R833" s="26"/>
      <c r="S833" s="65"/>
      <c r="T833" s="65"/>
      <c r="U833" s="13"/>
    </row>
    <row r="834">
      <c r="B834" s="51"/>
      <c r="C834" s="62"/>
      <c r="D834" s="13"/>
      <c r="E834" s="64"/>
      <c r="F834" s="64"/>
      <c r="G834" s="13"/>
      <c r="H834" s="64"/>
      <c r="I834" s="13"/>
      <c r="J834" s="64"/>
      <c r="K834" s="63"/>
      <c r="L834" s="63"/>
      <c r="M834" s="64"/>
      <c r="N834" s="13"/>
      <c r="Q834" s="26" t="s">
        <v>422</v>
      </c>
      <c r="R834" s="26"/>
      <c r="S834" s="65"/>
      <c r="T834" s="65"/>
      <c r="U834" s="13"/>
    </row>
    <row r="835">
      <c r="B835" s="51"/>
      <c r="C835" s="62"/>
      <c r="D835" s="13"/>
      <c r="E835" s="64"/>
      <c r="F835" s="64"/>
      <c r="G835" s="13"/>
      <c r="H835" s="64"/>
      <c r="I835" s="13"/>
      <c r="J835" s="64"/>
      <c r="K835" s="63"/>
      <c r="L835" s="63"/>
      <c r="M835" s="64"/>
      <c r="N835" s="13"/>
      <c r="Q835" s="26" t="s">
        <v>422</v>
      </c>
      <c r="R835" s="26"/>
      <c r="S835" s="65"/>
      <c r="T835" s="65"/>
      <c r="U835" s="13"/>
    </row>
    <row r="836">
      <c r="B836" s="51"/>
      <c r="C836" s="62"/>
      <c r="D836" s="13"/>
      <c r="E836" s="64"/>
      <c r="F836" s="64"/>
      <c r="G836" s="13"/>
      <c r="H836" s="64"/>
      <c r="I836" s="13"/>
      <c r="J836" s="64"/>
      <c r="K836" s="63"/>
      <c r="L836" s="63"/>
      <c r="M836" s="64"/>
      <c r="N836" s="13"/>
      <c r="Q836" s="26" t="s">
        <v>422</v>
      </c>
      <c r="R836" s="26"/>
      <c r="S836" s="65"/>
      <c r="T836" s="65"/>
      <c r="U836" s="13"/>
    </row>
    <row r="837">
      <c r="B837" s="51"/>
      <c r="C837" s="62"/>
      <c r="D837" s="13"/>
      <c r="E837" s="64"/>
      <c r="F837" s="64"/>
      <c r="G837" s="13"/>
      <c r="H837" s="64"/>
      <c r="I837" s="13"/>
      <c r="J837" s="64"/>
      <c r="K837" s="63"/>
      <c r="L837" s="63"/>
      <c r="M837" s="64"/>
      <c r="N837" s="13"/>
      <c r="Q837" s="26" t="s">
        <v>422</v>
      </c>
      <c r="R837" s="26"/>
      <c r="S837" s="65"/>
      <c r="T837" s="65"/>
      <c r="U837" s="13"/>
    </row>
    <row r="838">
      <c r="B838" s="51"/>
      <c r="C838" s="62"/>
      <c r="D838" s="13"/>
      <c r="E838" s="64"/>
      <c r="F838" s="64"/>
      <c r="G838" s="13"/>
      <c r="H838" s="64"/>
      <c r="I838" s="13"/>
      <c r="J838" s="64"/>
      <c r="K838" s="63"/>
      <c r="L838" s="63"/>
      <c r="M838" s="64"/>
      <c r="N838" s="13"/>
      <c r="Q838" s="26" t="s">
        <v>422</v>
      </c>
      <c r="R838" s="26"/>
      <c r="S838" s="65"/>
      <c r="T838" s="65"/>
      <c r="U838" s="13"/>
    </row>
    <row r="839">
      <c r="B839" s="51"/>
      <c r="C839" s="62"/>
      <c r="D839" s="13"/>
      <c r="E839" s="64"/>
      <c r="F839" s="64"/>
      <c r="G839" s="13"/>
      <c r="H839" s="64"/>
      <c r="I839" s="13"/>
      <c r="J839" s="64"/>
      <c r="K839" s="63"/>
      <c r="L839" s="63"/>
      <c r="M839" s="64"/>
      <c r="N839" s="13"/>
      <c r="Q839" s="26" t="s">
        <v>422</v>
      </c>
      <c r="R839" s="26"/>
      <c r="S839" s="65"/>
      <c r="T839" s="65"/>
      <c r="U839" s="13"/>
    </row>
    <row r="840">
      <c r="B840" s="51"/>
      <c r="C840" s="62"/>
      <c r="D840" s="13"/>
      <c r="E840" s="64"/>
      <c r="F840" s="64"/>
      <c r="G840" s="13"/>
      <c r="H840" s="64"/>
      <c r="I840" s="13"/>
      <c r="J840" s="64"/>
      <c r="K840" s="63"/>
      <c r="L840" s="63"/>
      <c r="M840" s="64"/>
      <c r="N840" s="13"/>
      <c r="Q840" s="26" t="s">
        <v>422</v>
      </c>
      <c r="R840" s="26"/>
      <c r="S840" s="65"/>
      <c r="T840" s="65"/>
      <c r="U840" s="13"/>
    </row>
    <row r="841">
      <c r="B841" s="51"/>
      <c r="C841" s="62"/>
      <c r="D841" s="13"/>
      <c r="E841" s="64"/>
      <c r="F841" s="64"/>
      <c r="G841" s="13"/>
      <c r="H841" s="64"/>
      <c r="I841" s="13"/>
      <c r="J841" s="64"/>
      <c r="K841" s="63"/>
      <c r="L841" s="63"/>
      <c r="M841" s="64"/>
      <c r="N841" s="13"/>
      <c r="Q841" s="26" t="s">
        <v>422</v>
      </c>
      <c r="R841" s="26"/>
      <c r="S841" s="65"/>
      <c r="T841" s="65"/>
      <c r="U841" s="13"/>
    </row>
    <row r="842">
      <c r="B842" s="51"/>
      <c r="C842" s="62"/>
      <c r="D842" s="13"/>
      <c r="E842" s="64"/>
      <c r="F842" s="64"/>
      <c r="G842" s="13"/>
      <c r="H842" s="64"/>
      <c r="I842" s="13"/>
      <c r="J842" s="64"/>
      <c r="K842" s="63"/>
      <c r="L842" s="63"/>
      <c r="M842" s="64"/>
      <c r="N842" s="13"/>
      <c r="Q842" s="26" t="s">
        <v>422</v>
      </c>
      <c r="R842" s="26"/>
      <c r="S842" s="65"/>
      <c r="T842" s="65"/>
      <c r="U842" s="13"/>
    </row>
    <row r="843">
      <c r="B843" s="51"/>
      <c r="C843" s="62"/>
      <c r="D843" s="13"/>
      <c r="E843" s="64"/>
      <c r="F843" s="64"/>
      <c r="G843" s="13"/>
      <c r="H843" s="64"/>
      <c r="I843" s="13"/>
      <c r="J843" s="64"/>
      <c r="K843" s="63"/>
      <c r="L843" s="63"/>
      <c r="M843" s="64"/>
      <c r="N843" s="13"/>
      <c r="Q843" s="26" t="s">
        <v>422</v>
      </c>
      <c r="R843" s="26"/>
      <c r="S843" s="65"/>
      <c r="T843" s="65"/>
      <c r="U843" s="13"/>
    </row>
    <row r="844">
      <c r="B844" s="51"/>
      <c r="C844" s="62"/>
      <c r="D844" s="13"/>
      <c r="E844" s="64"/>
      <c r="F844" s="64"/>
      <c r="G844" s="13"/>
      <c r="H844" s="64"/>
      <c r="I844" s="13"/>
      <c r="J844" s="64"/>
      <c r="K844" s="63"/>
      <c r="L844" s="63"/>
      <c r="M844" s="64"/>
      <c r="N844" s="13"/>
      <c r="Q844" s="26" t="s">
        <v>422</v>
      </c>
      <c r="R844" s="26"/>
      <c r="S844" s="65"/>
      <c r="T844" s="65"/>
      <c r="U844" s="13"/>
    </row>
    <row r="845">
      <c r="B845" s="51"/>
      <c r="C845" s="62"/>
      <c r="D845" s="13"/>
      <c r="E845" s="64"/>
      <c r="F845" s="64"/>
      <c r="G845" s="13"/>
      <c r="H845" s="64"/>
      <c r="I845" s="13"/>
      <c r="J845" s="64"/>
      <c r="K845" s="63"/>
      <c r="L845" s="63"/>
      <c r="M845" s="64"/>
      <c r="N845" s="13"/>
      <c r="Q845" s="26" t="s">
        <v>422</v>
      </c>
      <c r="R845" s="26"/>
      <c r="S845" s="65"/>
      <c r="T845" s="65"/>
      <c r="U845" s="13"/>
    </row>
    <row r="846">
      <c r="B846" s="51"/>
      <c r="C846" s="62"/>
      <c r="D846" s="13"/>
      <c r="E846" s="64"/>
      <c r="F846" s="64"/>
      <c r="G846" s="13"/>
      <c r="H846" s="64"/>
      <c r="I846" s="13"/>
      <c r="J846" s="64"/>
      <c r="K846" s="63"/>
      <c r="L846" s="63"/>
      <c r="M846" s="64"/>
      <c r="N846" s="13"/>
      <c r="Q846" s="26" t="s">
        <v>422</v>
      </c>
      <c r="R846" s="26"/>
      <c r="S846" s="65"/>
      <c r="T846" s="65"/>
      <c r="U846" s="13"/>
    </row>
    <row r="847">
      <c r="B847" s="51"/>
      <c r="C847" s="62"/>
      <c r="D847" s="13"/>
      <c r="E847" s="64"/>
      <c r="F847" s="64"/>
      <c r="G847" s="13"/>
      <c r="H847" s="64"/>
      <c r="I847" s="13"/>
      <c r="J847" s="64"/>
      <c r="K847" s="63"/>
      <c r="L847" s="63"/>
      <c r="M847" s="64"/>
      <c r="N847" s="13"/>
      <c r="Q847" s="26" t="s">
        <v>422</v>
      </c>
      <c r="R847" s="26"/>
      <c r="S847" s="65"/>
      <c r="T847" s="65"/>
      <c r="U847" s="13"/>
    </row>
    <row r="848">
      <c r="B848" s="51"/>
      <c r="C848" s="62"/>
      <c r="D848" s="13"/>
      <c r="E848" s="64"/>
      <c r="F848" s="64"/>
      <c r="G848" s="13"/>
      <c r="H848" s="64"/>
      <c r="I848" s="13"/>
      <c r="J848" s="64"/>
      <c r="K848" s="63"/>
      <c r="L848" s="63"/>
      <c r="M848" s="64"/>
      <c r="N848" s="13"/>
      <c r="Q848" s="26" t="s">
        <v>422</v>
      </c>
      <c r="R848" s="26"/>
      <c r="S848" s="65"/>
      <c r="T848" s="65"/>
      <c r="U848" s="13"/>
    </row>
    <row r="849">
      <c r="B849" s="51"/>
      <c r="C849" s="62"/>
      <c r="D849" s="13"/>
      <c r="E849" s="64"/>
      <c r="F849" s="64"/>
      <c r="G849" s="13"/>
      <c r="H849" s="64"/>
      <c r="I849" s="13"/>
      <c r="J849" s="64"/>
      <c r="K849" s="63"/>
      <c r="L849" s="63"/>
      <c r="M849" s="64"/>
      <c r="N849" s="13"/>
      <c r="Q849" s="26" t="s">
        <v>422</v>
      </c>
      <c r="R849" s="26"/>
      <c r="S849" s="65"/>
      <c r="T849" s="65"/>
      <c r="U849" s="13"/>
    </row>
    <row r="850">
      <c r="B850" s="51"/>
      <c r="C850" s="62"/>
      <c r="D850" s="13"/>
      <c r="E850" s="64"/>
      <c r="F850" s="64"/>
      <c r="G850" s="13"/>
      <c r="H850" s="64"/>
      <c r="I850" s="13"/>
      <c r="J850" s="64"/>
      <c r="K850" s="63"/>
      <c r="L850" s="63"/>
      <c r="M850" s="64"/>
      <c r="N850" s="13"/>
      <c r="Q850" s="26" t="s">
        <v>422</v>
      </c>
      <c r="R850" s="26"/>
      <c r="S850" s="65"/>
      <c r="T850" s="65"/>
      <c r="U850" s="13"/>
    </row>
    <row r="851">
      <c r="B851" s="51"/>
      <c r="C851" s="62"/>
      <c r="D851" s="13"/>
      <c r="E851" s="64"/>
      <c r="F851" s="64"/>
      <c r="G851" s="13"/>
      <c r="H851" s="64"/>
      <c r="I851" s="13"/>
      <c r="J851" s="64"/>
      <c r="K851" s="63"/>
      <c r="L851" s="63"/>
      <c r="M851" s="64"/>
      <c r="N851" s="13"/>
      <c r="Q851" s="26" t="s">
        <v>422</v>
      </c>
      <c r="R851" s="26"/>
      <c r="S851" s="65"/>
      <c r="T851" s="65"/>
      <c r="U851" s="13"/>
    </row>
    <row r="852">
      <c r="B852" s="51"/>
      <c r="C852" s="62"/>
      <c r="D852" s="13"/>
      <c r="E852" s="64"/>
      <c r="F852" s="64"/>
      <c r="G852" s="13"/>
      <c r="H852" s="64"/>
      <c r="I852" s="13"/>
      <c r="J852" s="64"/>
      <c r="K852" s="63"/>
      <c r="L852" s="63"/>
      <c r="M852" s="64"/>
      <c r="N852" s="13"/>
      <c r="Q852" s="26" t="s">
        <v>422</v>
      </c>
      <c r="R852" s="26"/>
      <c r="S852" s="65"/>
      <c r="T852" s="65"/>
      <c r="U852" s="13"/>
    </row>
    <row r="853">
      <c r="B853" s="51"/>
      <c r="C853" s="62"/>
      <c r="D853" s="13"/>
      <c r="E853" s="64"/>
      <c r="F853" s="64"/>
      <c r="G853" s="13"/>
      <c r="H853" s="64"/>
      <c r="I853" s="13"/>
      <c r="J853" s="64"/>
      <c r="K853" s="63"/>
      <c r="L853" s="63"/>
      <c r="M853" s="64"/>
      <c r="N853" s="13"/>
      <c r="Q853" s="26" t="s">
        <v>422</v>
      </c>
      <c r="R853" s="26"/>
      <c r="S853" s="65"/>
      <c r="T853" s="65"/>
      <c r="U853" s="13"/>
    </row>
    <row r="854">
      <c r="B854" s="51"/>
      <c r="C854" s="62"/>
      <c r="D854" s="13"/>
      <c r="E854" s="64"/>
      <c r="F854" s="64"/>
      <c r="G854" s="13"/>
      <c r="H854" s="64"/>
      <c r="I854" s="13"/>
      <c r="J854" s="64"/>
      <c r="K854" s="63"/>
      <c r="L854" s="63"/>
      <c r="M854" s="64"/>
      <c r="N854" s="13"/>
      <c r="Q854" s="26" t="s">
        <v>422</v>
      </c>
      <c r="R854" s="26"/>
      <c r="S854" s="65"/>
      <c r="T854" s="65"/>
      <c r="U854" s="13"/>
    </row>
    <row r="855">
      <c r="B855" s="51"/>
      <c r="C855" s="62"/>
      <c r="D855" s="13"/>
      <c r="E855" s="64"/>
      <c r="F855" s="64"/>
      <c r="G855" s="13"/>
      <c r="H855" s="64"/>
      <c r="I855" s="13"/>
      <c r="J855" s="64"/>
      <c r="K855" s="63"/>
      <c r="L855" s="63"/>
      <c r="M855" s="64"/>
      <c r="N855" s="13"/>
      <c r="Q855" s="26" t="s">
        <v>422</v>
      </c>
      <c r="R855" s="26"/>
      <c r="S855" s="65"/>
      <c r="T855" s="65"/>
      <c r="U855" s="13"/>
    </row>
    <row r="856">
      <c r="B856" s="51"/>
      <c r="C856" s="62"/>
      <c r="D856" s="13"/>
      <c r="E856" s="64"/>
      <c r="F856" s="64"/>
      <c r="G856" s="13"/>
      <c r="H856" s="64"/>
      <c r="I856" s="13"/>
      <c r="J856" s="64"/>
      <c r="K856" s="63"/>
      <c r="L856" s="63"/>
      <c r="M856" s="64"/>
      <c r="N856" s="13"/>
      <c r="Q856" s="26" t="s">
        <v>422</v>
      </c>
      <c r="R856" s="26"/>
      <c r="S856" s="65"/>
      <c r="T856" s="65"/>
      <c r="U856" s="13"/>
    </row>
    <row r="857">
      <c r="B857" s="51"/>
      <c r="C857" s="62"/>
      <c r="D857" s="13"/>
      <c r="E857" s="64"/>
      <c r="F857" s="64"/>
      <c r="G857" s="13"/>
      <c r="H857" s="64"/>
      <c r="I857" s="13"/>
      <c r="J857" s="64"/>
      <c r="K857" s="63"/>
      <c r="L857" s="63"/>
      <c r="M857" s="64"/>
      <c r="N857" s="13"/>
      <c r="Q857" s="26" t="s">
        <v>422</v>
      </c>
      <c r="R857" s="26"/>
      <c r="S857" s="65"/>
      <c r="T857" s="65"/>
      <c r="U857" s="13"/>
    </row>
    <row r="858">
      <c r="B858" s="51"/>
      <c r="C858" s="62"/>
      <c r="D858" s="13"/>
      <c r="E858" s="64"/>
      <c r="F858" s="64"/>
      <c r="G858" s="13"/>
      <c r="H858" s="64"/>
      <c r="I858" s="13"/>
      <c r="J858" s="64"/>
      <c r="K858" s="63"/>
      <c r="L858" s="63"/>
      <c r="M858" s="64"/>
      <c r="N858" s="13"/>
      <c r="Q858" s="26" t="s">
        <v>422</v>
      </c>
      <c r="R858" s="26"/>
      <c r="S858" s="65"/>
      <c r="T858" s="65"/>
      <c r="U858" s="13"/>
    </row>
    <row r="859">
      <c r="B859" s="51"/>
      <c r="C859" s="62"/>
      <c r="D859" s="13"/>
      <c r="E859" s="64"/>
      <c r="F859" s="64"/>
      <c r="G859" s="13"/>
      <c r="H859" s="64"/>
      <c r="I859" s="13"/>
      <c r="J859" s="64"/>
      <c r="K859" s="63"/>
      <c r="L859" s="63"/>
      <c r="M859" s="64"/>
      <c r="N859" s="13"/>
      <c r="Q859" s="26" t="s">
        <v>422</v>
      </c>
      <c r="R859" s="26"/>
      <c r="S859" s="65"/>
      <c r="T859" s="65"/>
      <c r="U859" s="13"/>
    </row>
    <row r="860">
      <c r="B860" s="51"/>
      <c r="C860" s="62"/>
      <c r="D860" s="13"/>
      <c r="E860" s="64"/>
      <c r="F860" s="64"/>
      <c r="G860" s="13"/>
      <c r="H860" s="64"/>
      <c r="I860" s="13"/>
      <c r="J860" s="64"/>
      <c r="K860" s="63"/>
      <c r="L860" s="63"/>
      <c r="M860" s="64"/>
      <c r="N860" s="13"/>
      <c r="Q860" s="26" t="s">
        <v>422</v>
      </c>
      <c r="R860" s="26"/>
      <c r="S860" s="65"/>
      <c r="T860" s="65"/>
      <c r="U860" s="13"/>
    </row>
    <row r="861">
      <c r="B861" s="51"/>
      <c r="C861" s="62"/>
      <c r="D861" s="13"/>
      <c r="E861" s="64"/>
      <c r="F861" s="64"/>
      <c r="G861" s="13"/>
      <c r="H861" s="64"/>
      <c r="I861" s="13"/>
      <c r="J861" s="64"/>
      <c r="K861" s="63"/>
      <c r="L861" s="63"/>
      <c r="M861" s="64"/>
      <c r="N861" s="13"/>
      <c r="Q861" s="26" t="s">
        <v>422</v>
      </c>
      <c r="R861" s="26"/>
      <c r="S861" s="65"/>
      <c r="T861" s="65"/>
      <c r="U861" s="13"/>
    </row>
    <row r="862">
      <c r="B862" s="51"/>
      <c r="C862" s="62"/>
      <c r="D862" s="13"/>
      <c r="E862" s="64"/>
      <c r="F862" s="64"/>
      <c r="G862" s="13"/>
      <c r="H862" s="64"/>
      <c r="I862" s="13"/>
      <c r="J862" s="64"/>
      <c r="K862" s="63"/>
      <c r="L862" s="63"/>
      <c r="M862" s="64"/>
      <c r="N862" s="13"/>
      <c r="Q862" s="26" t="s">
        <v>422</v>
      </c>
      <c r="R862" s="26"/>
      <c r="S862" s="65"/>
      <c r="T862" s="65"/>
      <c r="U862" s="13"/>
    </row>
    <row r="863">
      <c r="B863" s="51"/>
      <c r="C863" s="62"/>
      <c r="D863" s="13"/>
      <c r="E863" s="64"/>
      <c r="F863" s="64"/>
      <c r="G863" s="13"/>
      <c r="H863" s="64"/>
      <c r="I863" s="13"/>
      <c r="J863" s="64"/>
      <c r="K863" s="63"/>
      <c r="L863" s="63"/>
      <c r="M863" s="64"/>
      <c r="N863" s="13"/>
      <c r="Q863" s="26" t="s">
        <v>422</v>
      </c>
      <c r="R863" s="26"/>
      <c r="S863" s="65"/>
      <c r="T863" s="65"/>
      <c r="U863" s="13"/>
    </row>
    <row r="864">
      <c r="B864" s="51"/>
      <c r="C864" s="62"/>
      <c r="D864" s="13"/>
      <c r="E864" s="64"/>
      <c r="F864" s="64"/>
      <c r="G864" s="13"/>
      <c r="H864" s="64"/>
      <c r="I864" s="13"/>
      <c r="J864" s="64"/>
      <c r="K864" s="63"/>
      <c r="L864" s="63"/>
      <c r="M864" s="64"/>
      <c r="N864" s="13"/>
      <c r="Q864" s="26" t="s">
        <v>422</v>
      </c>
      <c r="R864" s="26"/>
      <c r="S864" s="65"/>
      <c r="T864" s="65"/>
      <c r="U864" s="13"/>
    </row>
    <row r="865">
      <c r="B865" s="51"/>
      <c r="C865" s="62"/>
      <c r="D865" s="13"/>
      <c r="E865" s="64"/>
      <c r="F865" s="64"/>
      <c r="G865" s="13"/>
      <c r="H865" s="64"/>
      <c r="I865" s="13"/>
      <c r="J865" s="64"/>
      <c r="K865" s="63"/>
      <c r="L865" s="63"/>
      <c r="M865" s="64"/>
      <c r="N865" s="13"/>
      <c r="Q865" s="26" t="s">
        <v>422</v>
      </c>
      <c r="R865" s="26"/>
      <c r="S865" s="65"/>
      <c r="T865" s="65"/>
      <c r="U865" s="13"/>
    </row>
    <row r="866">
      <c r="B866" s="51"/>
      <c r="C866" s="62"/>
      <c r="D866" s="13"/>
      <c r="E866" s="64"/>
      <c r="F866" s="64"/>
      <c r="G866" s="13"/>
      <c r="H866" s="64"/>
      <c r="I866" s="13"/>
      <c r="J866" s="64"/>
      <c r="K866" s="63"/>
      <c r="L866" s="63"/>
      <c r="M866" s="64"/>
      <c r="N866" s="13"/>
      <c r="Q866" s="26" t="s">
        <v>422</v>
      </c>
      <c r="R866" s="26"/>
      <c r="S866" s="65"/>
      <c r="T866" s="65"/>
      <c r="U866" s="13"/>
    </row>
    <row r="867">
      <c r="B867" s="51"/>
      <c r="C867" s="62"/>
      <c r="D867" s="13"/>
      <c r="E867" s="64"/>
      <c r="F867" s="64"/>
      <c r="G867" s="13"/>
      <c r="H867" s="64"/>
      <c r="I867" s="13"/>
      <c r="J867" s="64"/>
      <c r="K867" s="63"/>
      <c r="L867" s="63"/>
      <c r="M867" s="64"/>
      <c r="N867" s="13"/>
      <c r="Q867" s="26" t="s">
        <v>422</v>
      </c>
      <c r="R867" s="26"/>
      <c r="S867" s="65"/>
      <c r="T867" s="65"/>
      <c r="U867" s="13"/>
    </row>
    <row r="868">
      <c r="B868" s="51"/>
      <c r="C868" s="62"/>
      <c r="D868" s="13"/>
      <c r="E868" s="64"/>
      <c r="F868" s="64"/>
      <c r="G868" s="13"/>
      <c r="H868" s="64"/>
      <c r="I868" s="13"/>
      <c r="J868" s="64"/>
      <c r="K868" s="63"/>
      <c r="L868" s="63"/>
      <c r="M868" s="64"/>
      <c r="N868" s="13"/>
      <c r="Q868" s="26" t="s">
        <v>422</v>
      </c>
      <c r="R868" s="26"/>
      <c r="S868" s="65"/>
      <c r="T868" s="65"/>
      <c r="U868" s="13"/>
    </row>
    <row r="869">
      <c r="B869" s="51"/>
      <c r="C869" s="62"/>
      <c r="D869" s="13"/>
      <c r="E869" s="64"/>
      <c r="F869" s="64"/>
      <c r="G869" s="13"/>
      <c r="H869" s="64"/>
      <c r="I869" s="13"/>
      <c r="J869" s="64"/>
      <c r="K869" s="63"/>
      <c r="L869" s="63"/>
      <c r="M869" s="64"/>
      <c r="N869" s="13"/>
      <c r="Q869" s="26" t="s">
        <v>422</v>
      </c>
      <c r="R869" s="26"/>
      <c r="S869" s="65"/>
      <c r="T869" s="65"/>
      <c r="U869" s="13"/>
    </row>
    <row r="870">
      <c r="B870" s="51"/>
      <c r="C870" s="62"/>
      <c r="D870" s="13"/>
      <c r="E870" s="64"/>
      <c r="F870" s="64"/>
      <c r="G870" s="13"/>
      <c r="H870" s="64"/>
      <c r="I870" s="13"/>
      <c r="J870" s="64"/>
      <c r="K870" s="63"/>
      <c r="L870" s="63"/>
      <c r="M870" s="64"/>
      <c r="N870" s="13"/>
      <c r="Q870" s="26" t="s">
        <v>422</v>
      </c>
      <c r="R870" s="26"/>
      <c r="S870" s="65"/>
      <c r="T870" s="65"/>
      <c r="U870" s="13"/>
    </row>
    <row r="871">
      <c r="B871" s="51"/>
      <c r="C871" s="62"/>
      <c r="D871" s="13"/>
      <c r="E871" s="64"/>
      <c r="F871" s="64"/>
      <c r="G871" s="13"/>
      <c r="H871" s="64"/>
      <c r="I871" s="13"/>
      <c r="J871" s="64"/>
      <c r="K871" s="63"/>
      <c r="L871" s="63"/>
      <c r="M871" s="64"/>
      <c r="N871" s="13"/>
      <c r="Q871" s="26" t="s">
        <v>422</v>
      </c>
      <c r="R871" s="26"/>
      <c r="S871" s="65"/>
      <c r="T871" s="65"/>
      <c r="U871" s="13"/>
    </row>
    <row r="872">
      <c r="B872" s="51"/>
      <c r="C872" s="62"/>
      <c r="D872" s="13"/>
      <c r="E872" s="64"/>
      <c r="F872" s="64"/>
      <c r="G872" s="13"/>
      <c r="H872" s="64"/>
      <c r="I872" s="13"/>
      <c r="J872" s="64"/>
      <c r="K872" s="63"/>
      <c r="L872" s="63"/>
      <c r="M872" s="64"/>
      <c r="N872" s="13"/>
      <c r="Q872" s="26" t="s">
        <v>422</v>
      </c>
      <c r="R872" s="26"/>
      <c r="S872" s="65"/>
      <c r="T872" s="65"/>
      <c r="U872" s="13"/>
    </row>
    <row r="873">
      <c r="B873" s="51"/>
      <c r="C873" s="62"/>
      <c r="D873" s="13"/>
      <c r="E873" s="64"/>
      <c r="F873" s="64"/>
      <c r="G873" s="13"/>
      <c r="H873" s="64"/>
      <c r="I873" s="13"/>
      <c r="J873" s="64"/>
      <c r="K873" s="63"/>
      <c r="L873" s="63"/>
      <c r="M873" s="64"/>
      <c r="N873" s="13"/>
      <c r="Q873" s="26" t="s">
        <v>422</v>
      </c>
      <c r="R873" s="26"/>
      <c r="S873" s="65"/>
      <c r="T873" s="65"/>
      <c r="U873" s="13"/>
    </row>
    <row r="874">
      <c r="B874" s="51"/>
      <c r="C874" s="62"/>
      <c r="D874" s="13"/>
      <c r="E874" s="64"/>
      <c r="F874" s="64"/>
      <c r="G874" s="13"/>
      <c r="H874" s="64"/>
      <c r="I874" s="13"/>
      <c r="J874" s="64"/>
      <c r="K874" s="63"/>
      <c r="L874" s="63"/>
      <c r="M874" s="64"/>
      <c r="N874" s="13"/>
      <c r="Q874" s="26" t="s">
        <v>422</v>
      </c>
      <c r="R874" s="26"/>
      <c r="S874" s="65"/>
      <c r="T874" s="65"/>
      <c r="U874" s="13"/>
    </row>
    <row r="875">
      <c r="B875" s="51"/>
      <c r="C875" s="62"/>
      <c r="D875" s="13"/>
      <c r="E875" s="64"/>
      <c r="F875" s="64"/>
      <c r="G875" s="13"/>
      <c r="H875" s="64"/>
      <c r="I875" s="13"/>
      <c r="J875" s="64"/>
      <c r="K875" s="63"/>
      <c r="L875" s="63"/>
      <c r="M875" s="64"/>
      <c r="N875" s="13"/>
      <c r="Q875" s="26" t="s">
        <v>422</v>
      </c>
      <c r="R875" s="26"/>
      <c r="S875" s="65"/>
      <c r="T875" s="65"/>
      <c r="U875" s="13"/>
    </row>
    <row r="876">
      <c r="B876" s="51"/>
      <c r="C876" s="62"/>
      <c r="D876" s="13"/>
      <c r="E876" s="64"/>
      <c r="F876" s="64"/>
      <c r="G876" s="13"/>
      <c r="H876" s="64"/>
      <c r="I876" s="13"/>
      <c r="J876" s="64"/>
      <c r="K876" s="63"/>
      <c r="L876" s="63"/>
      <c r="M876" s="64"/>
      <c r="N876" s="13"/>
      <c r="Q876" s="26" t="s">
        <v>422</v>
      </c>
      <c r="R876" s="26"/>
      <c r="S876" s="65"/>
      <c r="T876" s="65"/>
      <c r="U876" s="13"/>
    </row>
    <row r="877">
      <c r="B877" s="51"/>
      <c r="C877" s="62"/>
      <c r="D877" s="13"/>
      <c r="E877" s="64"/>
      <c r="F877" s="64"/>
      <c r="G877" s="13"/>
      <c r="H877" s="64"/>
      <c r="I877" s="13"/>
      <c r="J877" s="64"/>
      <c r="K877" s="63"/>
      <c r="L877" s="63"/>
      <c r="M877" s="64"/>
      <c r="N877" s="13"/>
      <c r="Q877" s="26" t="s">
        <v>422</v>
      </c>
      <c r="R877" s="26"/>
      <c r="S877" s="65"/>
      <c r="T877" s="65"/>
      <c r="U877" s="13"/>
    </row>
    <row r="878">
      <c r="B878" s="51"/>
      <c r="C878" s="62"/>
      <c r="D878" s="13"/>
      <c r="E878" s="64"/>
      <c r="F878" s="64"/>
      <c r="G878" s="13"/>
      <c r="H878" s="64"/>
      <c r="I878" s="13"/>
      <c r="J878" s="64"/>
      <c r="K878" s="63"/>
      <c r="L878" s="63"/>
      <c r="M878" s="64"/>
      <c r="N878" s="13"/>
      <c r="Q878" s="26" t="s">
        <v>422</v>
      </c>
      <c r="R878" s="26"/>
      <c r="S878" s="65"/>
      <c r="T878" s="65"/>
      <c r="U878" s="13"/>
    </row>
    <row r="879">
      <c r="B879" s="51"/>
      <c r="C879" s="62"/>
      <c r="D879" s="13"/>
      <c r="E879" s="64"/>
      <c r="F879" s="64"/>
      <c r="G879" s="13"/>
      <c r="H879" s="64"/>
      <c r="I879" s="13"/>
      <c r="J879" s="64"/>
      <c r="K879" s="63"/>
      <c r="L879" s="63"/>
      <c r="M879" s="64"/>
      <c r="N879" s="13"/>
      <c r="Q879" s="26" t="s">
        <v>422</v>
      </c>
      <c r="R879" s="26"/>
      <c r="S879" s="65"/>
      <c r="T879" s="65"/>
      <c r="U879" s="13"/>
    </row>
    <row r="880">
      <c r="B880" s="51"/>
      <c r="C880" s="62"/>
      <c r="D880" s="13"/>
      <c r="E880" s="64"/>
      <c r="F880" s="64"/>
      <c r="G880" s="13"/>
      <c r="H880" s="64"/>
      <c r="I880" s="13"/>
      <c r="J880" s="64"/>
      <c r="K880" s="63"/>
      <c r="L880" s="63"/>
      <c r="M880" s="64"/>
      <c r="N880" s="13"/>
      <c r="Q880" s="26" t="s">
        <v>422</v>
      </c>
      <c r="R880" s="26"/>
      <c r="S880" s="65"/>
      <c r="T880" s="65"/>
      <c r="U880" s="13"/>
    </row>
    <row r="881">
      <c r="B881" s="51"/>
      <c r="C881" s="62"/>
      <c r="D881" s="13"/>
      <c r="E881" s="64"/>
      <c r="F881" s="64"/>
      <c r="G881" s="13"/>
      <c r="H881" s="64"/>
      <c r="I881" s="13"/>
      <c r="J881" s="64"/>
      <c r="K881" s="63"/>
      <c r="L881" s="63"/>
      <c r="M881" s="64"/>
      <c r="N881" s="13"/>
      <c r="Q881" s="26" t="s">
        <v>422</v>
      </c>
      <c r="R881" s="26"/>
      <c r="S881" s="65"/>
      <c r="T881" s="65"/>
      <c r="U881" s="13"/>
    </row>
    <row r="882">
      <c r="B882" s="51"/>
      <c r="C882" s="62"/>
      <c r="D882" s="13"/>
      <c r="E882" s="64"/>
      <c r="F882" s="64"/>
      <c r="G882" s="13"/>
      <c r="H882" s="64"/>
      <c r="I882" s="13"/>
      <c r="J882" s="64"/>
      <c r="K882" s="63"/>
      <c r="L882" s="63"/>
      <c r="M882" s="64"/>
      <c r="N882" s="13"/>
      <c r="Q882" s="26" t="s">
        <v>422</v>
      </c>
      <c r="R882" s="26"/>
      <c r="S882" s="65"/>
      <c r="T882" s="65"/>
      <c r="U882" s="13"/>
    </row>
    <row r="883">
      <c r="B883" s="51"/>
      <c r="C883" s="62"/>
      <c r="D883" s="13"/>
      <c r="E883" s="64"/>
      <c r="F883" s="64"/>
      <c r="G883" s="13"/>
      <c r="H883" s="64"/>
      <c r="I883" s="13"/>
      <c r="J883" s="64"/>
      <c r="K883" s="63"/>
      <c r="L883" s="63"/>
      <c r="M883" s="64"/>
      <c r="N883" s="13"/>
      <c r="Q883" s="26" t="s">
        <v>422</v>
      </c>
      <c r="R883" s="26"/>
      <c r="S883" s="65"/>
      <c r="T883" s="65"/>
      <c r="U883" s="13"/>
    </row>
    <row r="884">
      <c r="B884" s="51"/>
      <c r="C884" s="62"/>
      <c r="D884" s="13"/>
      <c r="E884" s="64"/>
      <c r="F884" s="64"/>
      <c r="G884" s="13"/>
      <c r="H884" s="64"/>
      <c r="I884" s="13"/>
      <c r="J884" s="64"/>
      <c r="K884" s="63"/>
      <c r="L884" s="63"/>
      <c r="M884" s="64"/>
      <c r="N884" s="13"/>
      <c r="Q884" s="26" t="s">
        <v>422</v>
      </c>
      <c r="R884" s="26"/>
      <c r="S884" s="65"/>
      <c r="T884" s="65"/>
      <c r="U884" s="13"/>
    </row>
    <row r="885">
      <c r="B885" s="51"/>
      <c r="C885" s="62"/>
      <c r="D885" s="13"/>
      <c r="E885" s="64"/>
      <c r="F885" s="64"/>
      <c r="G885" s="13"/>
      <c r="H885" s="64"/>
      <c r="I885" s="13"/>
      <c r="J885" s="64"/>
      <c r="K885" s="63"/>
      <c r="L885" s="63"/>
      <c r="M885" s="64"/>
      <c r="N885" s="13"/>
      <c r="Q885" s="26" t="s">
        <v>422</v>
      </c>
      <c r="R885" s="26"/>
      <c r="S885" s="65"/>
      <c r="T885" s="65"/>
      <c r="U885" s="13"/>
    </row>
    <row r="886">
      <c r="B886" s="51"/>
      <c r="C886" s="62"/>
      <c r="D886" s="13"/>
      <c r="E886" s="64"/>
      <c r="F886" s="64"/>
      <c r="G886" s="13"/>
      <c r="H886" s="64"/>
      <c r="I886" s="13"/>
      <c r="J886" s="64"/>
      <c r="K886" s="63"/>
      <c r="L886" s="63"/>
      <c r="M886" s="64"/>
      <c r="N886" s="13"/>
      <c r="Q886" s="26" t="s">
        <v>422</v>
      </c>
      <c r="R886" s="26"/>
      <c r="S886" s="65"/>
      <c r="T886" s="65"/>
      <c r="U886" s="13"/>
    </row>
    <row r="887">
      <c r="B887" s="51"/>
      <c r="C887" s="62"/>
      <c r="D887" s="13"/>
      <c r="E887" s="64"/>
      <c r="F887" s="64"/>
      <c r="G887" s="13"/>
      <c r="H887" s="64"/>
      <c r="I887" s="13"/>
      <c r="J887" s="64"/>
      <c r="K887" s="63"/>
      <c r="L887" s="63"/>
      <c r="M887" s="64"/>
      <c r="N887" s="13"/>
      <c r="Q887" s="26" t="s">
        <v>422</v>
      </c>
      <c r="R887" s="26"/>
      <c r="S887" s="65"/>
      <c r="T887" s="65"/>
      <c r="U887" s="13"/>
    </row>
    <row r="888">
      <c r="B888" s="51"/>
      <c r="C888" s="62"/>
      <c r="D888" s="13"/>
      <c r="E888" s="64"/>
      <c r="F888" s="64"/>
      <c r="G888" s="13"/>
      <c r="H888" s="64"/>
      <c r="I888" s="13"/>
      <c r="J888" s="64"/>
      <c r="K888" s="63"/>
      <c r="L888" s="63"/>
      <c r="M888" s="64"/>
      <c r="N888" s="13"/>
      <c r="Q888" s="26" t="s">
        <v>422</v>
      </c>
      <c r="R888" s="26"/>
      <c r="S888" s="65"/>
      <c r="T888" s="65"/>
      <c r="U888" s="13"/>
    </row>
    <row r="889">
      <c r="B889" s="51"/>
      <c r="C889" s="62"/>
      <c r="D889" s="13"/>
      <c r="E889" s="64"/>
      <c r="F889" s="64"/>
      <c r="G889" s="13"/>
      <c r="H889" s="64"/>
      <c r="I889" s="13"/>
      <c r="J889" s="64"/>
      <c r="K889" s="63"/>
      <c r="L889" s="63"/>
      <c r="M889" s="64"/>
      <c r="N889" s="13"/>
      <c r="Q889" s="26" t="s">
        <v>422</v>
      </c>
      <c r="R889" s="26"/>
      <c r="S889" s="65"/>
      <c r="T889" s="65"/>
      <c r="U889" s="13"/>
    </row>
    <row r="890">
      <c r="B890" s="51"/>
      <c r="C890" s="62"/>
      <c r="D890" s="13"/>
      <c r="E890" s="64"/>
      <c r="F890" s="64"/>
      <c r="G890" s="13"/>
      <c r="H890" s="64"/>
      <c r="I890" s="13"/>
      <c r="J890" s="64"/>
      <c r="K890" s="63"/>
      <c r="L890" s="63"/>
      <c r="M890" s="64"/>
      <c r="N890" s="13"/>
      <c r="Q890" s="26" t="s">
        <v>422</v>
      </c>
      <c r="R890" s="26"/>
      <c r="S890" s="65"/>
      <c r="T890" s="65"/>
      <c r="U890" s="13"/>
    </row>
    <row r="891">
      <c r="B891" s="51"/>
      <c r="C891" s="62"/>
      <c r="D891" s="13"/>
      <c r="E891" s="64"/>
      <c r="F891" s="64"/>
      <c r="G891" s="13"/>
      <c r="H891" s="64"/>
      <c r="I891" s="13"/>
      <c r="J891" s="64"/>
      <c r="K891" s="63"/>
      <c r="L891" s="63"/>
      <c r="M891" s="64"/>
      <c r="N891" s="13"/>
      <c r="Q891" s="26" t="s">
        <v>422</v>
      </c>
      <c r="R891" s="26"/>
      <c r="S891" s="65"/>
      <c r="T891" s="65"/>
      <c r="U891" s="13"/>
    </row>
    <row r="892">
      <c r="B892" s="51"/>
      <c r="C892" s="62"/>
      <c r="D892" s="13"/>
      <c r="E892" s="64"/>
      <c r="F892" s="64"/>
      <c r="G892" s="13"/>
      <c r="H892" s="64"/>
      <c r="I892" s="13"/>
      <c r="J892" s="64"/>
      <c r="K892" s="63"/>
      <c r="L892" s="63"/>
      <c r="M892" s="64"/>
      <c r="N892" s="13"/>
      <c r="Q892" s="26" t="s">
        <v>422</v>
      </c>
      <c r="R892" s="26"/>
      <c r="S892" s="65"/>
      <c r="T892" s="65"/>
      <c r="U892" s="13"/>
    </row>
    <row r="893">
      <c r="B893" s="51"/>
      <c r="C893" s="62"/>
      <c r="D893" s="13"/>
      <c r="E893" s="64"/>
      <c r="F893" s="64"/>
      <c r="G893" s="13"/>
      <c r="H893" s="64"/>
      <c r="I893" s="13"/>
      <c r="J893" s="64"/>
      <c r="K893" s="63"/>
      <c r="L893" s="63"/>
      <c r="M893" s="64"/>
      <c r="N893" s="13"/>
      <c r="Q893" s="26" t="s">
        <v>422</v>
      </c>
      <c r="R893" s="26"/>
      <c r="S893" s="65"/>
      <c r="T893" s="65"/>
      <c r="U893" s="13"/>
    </row>
    <row r="894">
      <c r="B894" s="51"/>
      <c r="C894" s="62"/>
      <c r="D894" s="13"/>
      <c r="E894" s="64"/>
      <c r="F894" s="64"/>
      <c r="G894" s="13"/>
      <c r="H894" s="64"/>
      <c r="I894" s="13"/>
      <c r="J894" s="64"/>
      <c r="K894" s="63"/>
      <c r="L894" s="63"/>
      <c r="M894" s="64"/>
      <c r="N894" s="13"/>
      <c r="Q894" s="26" t="s">
        <v>422</v>
      </c>
      <c r="R894" s="26"/>
      <c r="S894" s="65"/>
      <c r="T894" s="65"/>
      <c r="U894" s="13"/>
    </row>
    <row r="895">
      <c r="B895" s="51"/>
      <c r="C895" s="62"/>
      <c r="D895" s="13"/>
      <c r="E895" s="64"/>
      <c r="F895" s="64"/>
      <c r="G895" s="13"/>
      <c r="H895" s="64"/>
      <c r="I895" s="13"/>
      <c r="J895" s="64"/>
      <c r="K895" s="63"/>
      <c r="L895" s="63"/>
      <c r="M895" s="64"/>
      <c r="N895" s="13"/>
      <c r="Q895" s="26" t="s">
        <v>422</v>
      </c>
      <c r="R895" s="26"/>
      <c r="S895" s="65"/>
      <c r="T895" s="65"/>
      <c r="U895" s="13"/>
    </row>
    <row r="896">
      <c r="B896" s="51"/>
      <c r="C896" s="62"/>
      <c r="D896" s="13"/>
      <c r="E896" s="64"/>
      <c r="F896" s="64"/>
      <c r="G896" s="13"/>
      <c r="H896" s="64"/>
      <c r="I896" s="13"/>
      <c r="J896" s="64"/>
      <c r="K896" s="63"/>
      <c r="L896" s="63"/>
      <c r="M896" s="64"/>
      <c r="N896" s="13"/>
      <c r="Q896" s="26" t="s">
        <v>422</v>
      </c>
      <c r="R896" s="26"/>
      <c r="S896" s="65"/>
      <c r="T896" s="65"/>
      <c r="U896" s="13"/>
    </row>
    <row r="897">
      <c r="B897" s="51"/>
      <c r="C897" s="62"/>
      <c r="D897" s="13"/>
      <c r="E897" s="64"/>
      <c r="F897" s="64"/>
      <c r="G897" s="13"/>
      <c r="H897" s="64"/>
      <c r="I897" s="13"/>
      <c r="J897" s="64"/>
      <c r="K897" s="63"/>
      <c r="L897" s="63"/>
      <c r="M897" s="64"/>
      <c r="N897" s="13"/>
      <c r="Q897" s="26" t="s">
        <v>422</v>
      </c>
      <c r="R897" s="26"/>
      <c r="S897" s="65"/>
      <c r="T897" s="65"/>
      <c r="U897" s="13"/>
    </row>
    <row r="898">
      <c r="B898" s="51"/>
      <c r="C898" s="62"/>
      <c r="D898" s="13"/>
      <c r="E898" s="64"/>
      <c r="F898" s="64"/>
      <c r="G898" s="13"/>
      <c r="H898" s="64"/>
      <c r="I898" s="13"/>
      <c r="J898" s="64"/>
      <c r="K898" s="63"/>
      <c r="L898" s="63"/>
      <c r="M898" s="64"/>
      <c r="N898" s="13"/>
      <c r="Q898" s="26" t="s">
        <v>422</v>
      </c>
      <c r="R898" s="26"/>
      <c r="S898" s="65"/>
      <c r="T898" s="65"/>
      <c r="U898" s="13"/>
    </row>
    <row r="899">
      <c r="B899" s="51"/>
      <c r="C899" s="62"/>
      <c r="D899" s="13"/>
      <c r="E899" s="64"/>
      <c r="F899" s="64"/>
      <c r="G899" s="13"/>
      <c r="H899" s="64"/>
      <c r="I899" s="13"/>
      <c r="J899" s="64"/>
      <c r="K899" s="63"/>
      <c r="L899" s="63"/>
      <c r="M899" s="64"/>
      <c r="N899" s="13"/>
      <c r="Q899" s="26" t="s">
        <v>422</v>
      </c>
      <c r="R899" s="26"/>
      <c r="S899" s="65"/>
      <c r="T899" s="65"/>
      <c r="U899" s="13"/>
    </row>
    <row r="900">
      <c r="B900" s="51"/>
      <c r="C900" s="62"/>
      <c r="D900" s="13"/>
      <c r="E900" s="64"/>
      <c r="F900" s="64"/>
      <c r="G900" s="13"/>
      <c r="H900" s="64"/>
      <c r="I900" s="13"/>
      <c r="J900" s="64"/>
      <c r="K900" s="63"/>
      <c r="L900" s="63"/>
      <c r="M900" s="64"/>
      <c r="N900" s="13"/>
      <c r="Q900" s="26" t="s">
        <v>422</v>
      </c>
      <c r="R900" s="26"/>
      <c r="S900" s="65"/>
      <c r="T900" s="65"/>
      <c r="U900" s="13"/>
    </row>
    <row r="901">
      <c r="B901" s="51"/>
      <c r="C901" s="62"/>
      <c r="D901" s="13"/>
      <c r="E901" s="64"/>
      <c r="F901" s="64"/>
      <c r="G901" s="13"/>
      <c r="H901" s="64"/>
      <c r="I901" s="13"/>
      <c r="J901" s="64"/>
      <c r="K901" s="63"/>
      <c r="L901" s="63"/>
      <c r="M901" s="64"/>
      <c r="N901" s="13"/>
      <c r="Q901" s="26" t="s">
        <v>422</v>
      </c>
      <c r="R901" s="26"/>
      <c r="S901" s="65"/>
      <c r="T901" s="65"/>
      <c r="U901" s="13"/>
    </row>
    <row r="902">
      <c r="B902" s="51"/>
      <c r="C902" s="62"/>
      <c r="D902" s="13"/>
      <c r="E902" s="64"/>
      <c r="F902" s="64"/>
      <c r="G902" s="13"/>
      <c r="H902" s="64"/>
      <c r="I902" s="13"/>
      <c r="J902" s="64"/>
      <c r="K902" s="63"/>
      <c r="L902" s="63"/>
      <c r="M902" s="64"/>
      <c r="N902" s="13"/>
      <c r="Q902" s="26" t="s">
        <v>422</v>
      </c>
      <c r="R902" s="26"/>
      <c r="S902" s="65"/>
      <c r="T902" s="65"/>
      <c r="U902" s="13"/>
    </row>
    <row r="903">
      <c r="B903" s="51"/>
      <c r="C903" s="62"/>
      <c r="D903" s="13"/>
      <c r="E903" s="64"/>
      <c r="F903" s="64"/>
      <c r="G903" s="13"/>
      <c r="H903" s="64"/>
      <c r="I903" s="13"/>
      <c r="J903" s="64"/>
      <c r="K903" s="63"/>
      <c r="L903" s="63"/>
      <c r="M903" s="64"/>
      <c r="N903" s="13"/>
      <c r="Q903" s="26" t="s">
        <v>422</v>
      </c>
      <c r="R903" s="26"/>
      <c r="S903" s="65"/>
      <c r="T903" s="65"/>
      <c r="U903" s="13"/>
    </row>
    <row r="904">
      <c r="B904" s="51"/>
      <c r="C904" s="62"/>
      <c r="D904" s="13"/>
      <c r="E904" s="64"/>
      <c r="F904" s="64"/>
      <c r="G904" s="13"/>
      <c r="H904" s="64"/>
      <c r="I904" s="13"/>
      <c r="J904" s="64"/>
      <c r="K904" s="63"/>
      <c r="L904" s="63"/>
      <c r="M904" s="64"/>
      <c r="N904" s="13"/>
      <c r="Q904" s="26" t="s">
        <v>422</v>
      </c>
      <c r="R904" s="26"/>
      <c r="S904" s="65"/>
      <c r="T904" s="65"/>
      <c r="U904" s="13"/>
    </row>
    <row r="905">
      <c r="B905" s="51"/>
      <c r="C905" s="62"/>
      <c r="D905" s="13"/>
      <c r="E905" s="64"/>
      <c r="F905" s="64"/>
      <c r="G905" s="13"/>
      <c r="H905" s="64"/>
      <c r="I905" s="13"/>
      <c r="J905" s="64"/>
      <c r="K905" s="63"/>
      <c r="L905" s="63"/>
      <c r="M905" s="64"/>
      <c r="N905" s="13"/>
      <c r="Q905" s="26" t="s">
        <v>422</v>
      </c>
      <c r="R905" s="26"/>
      <c r="S905" s="65"/>
      <c r="T905" s="65"/>
      <c r="U905" s="13"/>
    </row>
    <row r="906">
      <c r="B906" s="51"/>
      <c r="C906" s="62"/>
      <c r="D906" s="13"/>
      <c r="E906" s="64"/>
      <c r="F906" s="64"/>
      <c r="G906" s="13"/>
      <c r="H906" s="64"/>
      <c r="I906" s="13"/>
      <c r="J906" s="64"/>
      <c r="K906" s="63"/>
      <c r="L906" s="63"/>
      <c r="M906" s="64"/>
      <c r="N906" s="13"/>
      <c r="Q906" s="26" t="s">
        <v>422</v>
      </c>
      <c r="R906" s="26"/>
      <c r="S906" s="65"/>
      <c r="T906" s="65"/>
      <c r="U906" s="13"/>
    </row>
    <row r="907">
      <c r="B907" s="51"/>
      <c r="C907" s="62"/>
      <c r="D907" s="13"/>
      <c r="E907" s="64"/>
      <c r="F907" s="64"/>
      <c r="G907" s="13"/>
      <c r="H907" s="64"/>
      <c r="I907" s="13"/>
      <c r="J907" s="64"/>
      <c r="K907" s="63"/>
      <c r="L907" s="63"/>
      <c r="M907" s="64"/>
      <c r="N907" s="13"/>
      <c r="Q907" s="26" t="s">
        <v>422</v>
      </c>
      <c r="R907" s="26"/>
      <c r="S907" s="65"/>
      <c r="T907" s="65"/>
      <c r="U907" s="13"/>
    </row>
    <row r="908">
      <c r="B908" s="51"/>
      <c r="C908" s="62"/>
      <c r="D908" s="13"/>
      <c r="E908" s="64"/>
      <c r="F908" s="64"/>
      <c r="G908" s="13"/>
      <c r="H908" s="64"/>
      <c r="I908" s="13"/>
      <c r="J908" s="64"/>
      <c r="K908" s="63"/>
      <c r="L908" s="63"/>
      <c r="M908" s="64"/>
      <c r="N908" s="13"/>
      <c r="Q908" s="26" t="s">
        <v>422</v>
      </c>
      <c r="R908" s="26"/>
      <c r="S908" s="65"/>
      <c r="T908" s="65"/>
      <c r="U908" s="13"/>
    </row>
    <row r="909">
      <c r="B909" s="51"/>
      <c r="C909" s="62"/>
      <c r="D909" s="13"/>
      <c r="E909" s="64"/>
      <c r="F909" s="64"/>
      <c r="G909" s="13"/>
      <c r="H909" s="64"/>
      <c r="I909" s="13"/>
      <c r="J909" s="64"/>
      <c r="K909" s="63"/>
      <c r="L909" s="63"/>
      <c r="M909" s="64"/>
      <c r="N909" s="13"/>
      <c r="Q909" s="26" t="s">
        <v>422</v>
      </c>
      <c r="R909" s="26"/>
      <c r="S909" s="65"/>
      <c r="T909" s="65"/>
      <c r="U909" s="13"/>
    </row>
    <row r="910">
      <c r="B910" s="51"/>
      <c r="C910" s="62"/>
      <c r="D910" s="13"/>
      <c r="E910" s="64"/>
      <c r="F910" s="64"/>
      <c r="G910" s="13"/>
      <c r="H910" s="64"/>
      <c r="I910" s="13"/>
      <c r="J910" s="64"/>
      <c r="K910" s="63"/>
      <c r="L910" s="63"/>
      <c r="M910" s="64"/>
      <c r="N910" s="13"/>
      <c r="Q910" s="26" t="s">
        <v>422</v>
      </c>
      <c r="R910" s="26"/>
      <c r="S910" s="65"/>
      <c r="T910" s="65"/>
      <c r="U910" s="13"/>
    </row>
    <row r="911">
      <c r="B911" s="51"/>
      <c r="C911" s="62"/>
      <c r="D911" s="13"/>
      <c r="E911" s="64"/>
      <c r="F911" s="64"/>
      <c r="G911" s="13"/>
      <c r="H911" s="64"/>
      <c r="I911" s="13"/>
      <c r="J911" s="64"/>
      <c r="K911" s="63"/>
      <c r="L911" s="63"/>
      <c r="M911" s="64"/>
      <c r="N911" s="13"/>
      <c r="Q911" s="26" t="s">
        <v>422</v>
      </c>
      <c r="R911" s="26"/>
      <c r="S911" s="65"/>
      <c r="T911" s="65"/>
      <c r="U911" s="13"/>
    </row>
    <row r="912">
      <c r="B912" s="51"/>
      <c r="C912" s="62"/>
      <c r="D912" s="13"/>
      <c r="E912" s="64"/>
      <c r="F912" s="64"/>
      <c r="G912" s="13"/>
      <c r="H912" s="64"/>
      <c r="I912" s="13"/>
      <c r="J912" s="64"/>
      <c r="K912" s="63"/>
      <c r="L912" s="63"/>
      <c r="M912" s="64"/>
      <c r="N912" s="13"/>
      <c r="Q912" s="26" t="s">
        <v>422</v>
      </c>
      <c r="R912" s="26"/>
      <c r="S912" s="65"/>
      <c r="T912" s="65"/>
      <c r="U912" s="13"/>
    </row>
    <row r="913">
      <c r="B913" s="51"/>
      <c r="C913" s="62"/>
      <c r="D913" s="13"/>
      <c r="E913" s="64"/>
      <c r="F913" s="64"/>
      <c r="G913" s="13"/>
      <c r="H913" s="64"/>
      <c r="I913" s="13"/>
      <c r="J913" s="64"/>
      <c r="K913" s="63"/>
      <c r="L913" s="63"/>
      <c r="M913" s="64"/>
      <c r="N913" s="13"/>
      <c r="Q913" s="26" t="s">
        <v>422</v>
      </c>
      <c r="R913" s="26"/>
      <c r="S913" s="65"/>
      <c r="T913" s="65"/>
      <c r="U913" s="13"/>
    </row>
    <row r="914">
      <c r="B914" s="51"/>
      <c r="C914" s="62"/>
      <c r="D914" s="13"/>
      <c r="E914" s="64"/>
      <c r="F914" s="64"/>
      <c r="G914" s="13"/>
      <c r="H914" s="64"/>
      <c r="I914" s="13"/>
      <c r="J914" s="64"/>
      <c r="K914" s="63"/>
      <c r="L914" s="63"/>
      <c r="M914" s="64"/>
      <c r="N914" s="13"/>
      <c r="Q914" s="26" t="s">
        <v>422</v>
      </c>
      <c r="R914" s="26"/>
      <c r="S914" s="65"/>
      <c r="T914" s="65"/>
      <c r="U914" s="13"/>
    </row>
    <row r="915">
      <c r="B915" s="51"/>
      <c r="C915" s="62"/>
      <c r="D915" s="13"/>
      <c r="E915" s="64"/>
      <c r="F915" s="64"/>
      <c r="G915" s="13"/>
      <c r="H915" s="64"/>
      <c r="I915" s="13"/>
      <c r="J915" s="64"/>
      <c r="K915" s="63"/>
      <c r="L915" s="63"/>
      <c r="M915" s="64"/>
      <c r="N915" s="13"/>
      <c r="Q915" s="26" t="s">
        <v>422</v>
      </c>
      <c r="R915" s="26"/>
      <c r="S915" s="65"/>
      <c r="T915" s="65"/>
      <c r="U915" s="13"/>
    </row>
    <row r="916">
      <c r="B916" s="51"/>
      <c r="C916" s="62"/>
      <c r="D916" s="13"/>
      <c r="E916" s="64"/>
      <c r="F916" s="64"/>
      <c r="G916" s="13"/>
      <c r="H916" s="64"/>
      <c r="I916" s="13"/>
      <c r="J916" s="64"/>
      <c r="K916" s="63"/>
      <c r="L916" s="63"/>
      <c r="M916" s="64"/>
      <c r="N916" s="13"/>
      <c r="Q916" s="26" t="s">
        <v>422</v>
      </c>
      <c r="R916" s="26"/>
      <c r="S916" s="65"/>
      <c r="T916" s="65"/>
      <c r="U916" s="13"/>
    </row>
    <row r="917">
      <c r="B917" s="51"/>
      <c r="C917" s="62"/>
      <c r="D917" s="13"/>
      <c r="E917" s="64"/>
      <c r="F917" s="64"/>
      <c r="G917" s="13"/>
      <c r="H917" s="64"/>
      <c r="I917" s="13"/>
      <c r="J917" s="64"/>
      <c r="K917" s="63"/>
      <c r="L917" s="63"/>
      <c r="M917" s="64"/>
      <c r="N917" s="13"/>
      <c r="Q917" s="26" t="s">
        <v>422</v>
      </c>
      <c r="R917" s="26"/>
      <c r="S917" s="65"/>
      <c r="T917" s="65"/>
      <c r="U917" s="13"/>
    </row>
    <row r="918">
      <c r="B918" s="51"/>
      <c r="C918" s="62"/>
      <c r="D918" s="13"/>
      <c r="E918" s="64"/>
      <c r="F918" s="64"/>
      <c r="G918" s="13"/>
      <c r="H918" s="64"/>
      <c r="I918" s="13"/>
      <c r="J918" s="64"/>
      <c r="K918" s="63"/>
      <c r="L918" s="63"/>
      <c r="M918" s="64"/>
      <c r="N918" s="13"/>
      <c r="Q918" s="26" t="s">
        <v>422</v>
      </c>
      <c r="R918" s="26"/>
      <c r="S918" s="65"/>
      <c r="T918" s="65"/>
      <c r="U918" s="13"/>
    </row>
    <row r="919">
      <c r="B919" s="51"/>
      <c r="C919" s="62"/>
      <c r="D919" s="13"/>
      <c r="E919" s="64"/>
      <c r="F919" s="64"/>
      <c r="G919" s="13"/>
      <c r="H919" s="64"/>
      <c r="I919" s="13"/>
      <c r="J919" s="64"/>
      <c r="K919" s="63"/>
      <c r="L919" s="63"/>
      <c r="M919" s="64"/>
      <c r="N919" s="13"/>
      <c r="Q919" s="26" t="s">
        <v>422</v>
      </c>
      <c r="R919" s="26"/>
      <c r="S919" s="65"/>
      <c r="T919" s="65"/>
      <c r="U919" s="13"/>
    </row>
    <row r="920">
      <c r="B920" s="51"/>
      <c r="C920" s="62"/>
      <c r="D920" s="13"/>
      <c r="E920" s="64"/>
      <c r="F920" s="64"/>
      <c r="G920" s="13"/>
      <c r="H920" s="64"/>
      <c r="I920" s="13"/>
      <c r="J920" s="64"/>
      <c r="K920" s="63"/>
      <c r="L920" s="63"/>
      <c r="M920" s="64"/>
      <c r="N920" s="13"/>
      <c r="Q920" s="26" t="s">
        <v>422</v>
      </c>
      <c r="R920" s="26"/>
      <c r="S920" s="65"/>
      <c r="T920" s="65"/>
      <c r="U920" s="13"/>
    </row>
    <row r="921">
      <c r="B921" s="51"/>
      <c r="C921" s="62"/>
      <c r="D921" s="13"/>
      <c r="E921" s="64"/>
      <c r="F921" s="64"/>
      <c r="G921" s="13"/>
      <c r="H921" s="64"/>
      <c r="I921" s="13"/>
      <c r="J921" s="64"/>
      <c r="K921" s="63"/>
      <c r="L921" s="63"/>
      <c r="M921" s="64"/>
      <c r="N921" s="13"/>
      <c r="Q921" s="26" t="s">
        <v>422</v>
      </c>
      <c r="R921" s="26"/>
      <c r="S921" s="65"/>
      <c r="T921" s="65"/>
      <c r="U921" s="13"/>
    </row>
    <row r="922">
      <c r="B922" s="51"/>
      <c r="C922" s="62"/>
      <c r="D922" s="13"/>
      <c r="E922" s="64"/>
      <c r="F922" s="64"/>
      <c r="G922" s="13"/>
      <c r="H922" s="64"/>
      <c r="I922" s="13"/>
      <c r="J922" s="64"/>
      <c r="K922" s="63"/>
      <c r="L922" s="63"/>
      <c r="M922" s="64"/>
      <c r="N922" s="13"/>
      <c r="Q922" s="26" t="s">
        <v>422</v>
      </c>
      <c r="R922" s="26"/>
      <c r="S922" s="65"/>
      <c r="T922" s="65"/>
      <c r="U922" s="13"/>
    </row>
    <row r="923">
      <c r="B923" s="51"/>
      <c r="C923" s="62"/>
      <c r="D923" s="13"/>
      <c r="E923" s="64"/>
      <c r="F923" s="64"/>
      <c r="G923" s="13"/>
      <c r="H923" s="64"/>
      <c r="I923" s="13"/>
      <c r="J923" s="64"/>
      <c r="K923" s="63"/>
      <c r="L923" s="63"/>
      <c r="M923" s="64"/>
      <c r="N923" s="13"/>
      <c r="Q923" s="26" t="s">
        <v>422</v>
      </c>
      <c r="R923" s="26"/>
      <c r="S923" s="65"/>
      <c r="T923" s="65"/>
      <c r="U923" s="13"/>
    </row>
    <row r="924">
      <c r="B924" s="51"/>
      <c r="C924" s="62"/>
      <c r="D924" s="13"/>
      <c r="E924" s="64"/>
      <c r="F924" s="64"/>
      <c r="G924" s="13"/>
      <c r="H924" s="64"/>
      <c r="I924" s="13"/>
      <c r="J924" s="64"/>
      <c r="K924" s="63"/>
      <c r="L924" s="63"/>
      <c r="M924" s="64"/>
      <c r="N924" s="13"/>
      <c r="Q924" s="26" t="s">
        <v>422</v>
      </c>
      <c r="R924" s="26"/>
      <c r="S924" s="65"/>
      <c r="T924" s="65"/>
      <c r="U924" s="13"/>
    </row>
    <row r="925">
      <c r="B925" s="51"/>
      <c r="C925" s="62"/>
      <c r="D925" s="13"/>
      <c r="E925" s="64"/>
      <c r="F925" s="64"/>
      <c r="G925" s="13"/>
      <c r="H925" s="64"/>
      <c r="I925" s="13"/>
      <c r="J925" s="64"/>
      <c r="K925" s="63"/>
      <c r="L925" s="63"/>
      <c r="M925" s="64"/>
      <c r="N925" s="13"/>
      <c r="Q925" s="26" t="s">
        <v>422</v>
      </c>
      <c r="R925" s="26"/>
      <c r="S925" s="65"/>
      <c r="T925" s="65"/>
      <c r="U925" s="13"/>
    </row>
    <row r="926">
      <c r="B926" s="51"/>
      <c r="C926" s="62"/>
      <c r="D926" s="13"/>
      <c r="E926" s="64"/>
      <c r="F926" s="64"/>
      <c r="G926" s="13"/>
      <c r="H926" s="64"/>
      <c r="I926" s="13"/>
      <c r="J926" s="64"/>
      <c r="K926" s="63"/>
      <c r="L926" s="63"/>
      <c r="M926" s="64"/>
      <c r="N926" s="13"/>
      <c r="Q926" s="26" t="s">
        <v>422</v>
      </c>
      <c r="R926" s="26"/>
      <c r="S926" s="65"/>
      <c r="T926" s="65"/>
      <c r="U926" s="13"/>
    </row>
    <row r="927">
      <c r="B927" s="51"/>
      <c r="C927" s="62"/>
      <c r="D927" s="13"/>
      <c r="E927" s="64"/>
      <c r="F927" s="64"/>
      <c r="G927" s="13"/>
      <c r="H927" s="64"/>
      <c r="I927" s="13"/>
      <c r="J927" s="64"/>
      <c r="K927" s="63"/>
      <c r="L927" s="63"/>
      <c r="M927" s="64"/>
      <c r="N927" s="13"/>
      <c r="Q927" s="26" t="s">
        <v>422</v>
      </c>
      <c r="R927" s="26"/>
      <c r="S927" s="65"/>
      <c r="T927" s="65"/>
      <c r="U927" s="13"/>
    </row>
    <row r="928">
      <c r="B928" s="51"/>
      <c r="C928" s="62"/>
      <c r="D928" s="13"/>
      <c r="E928" s="64"/>
      <c r="F928" s="64"/>
      <c r="G928" s="13"/>
      <c r="H928" s="64"/>
      <c r="I928" s="13"/>
      <c r="J928" s="64"/>
      <c r="K928" s="63"/>
      <c r="L928" s="63"/>
      <c r="M928" s="64"/>
      <c r="N928" s="13"/>
      <c r="Q928" s="26" t="s">
        <v>422</v>
      </c>
      <c r="R928" s="26"/>
      <c r="S928" s="65"/>
      <c r="T928" s="65"/>
      <c r="U928" s="13"/>
    </row>
    <row r="929">
      <c r="B929" s="51"/>
      <c r="C929" s="62"/>
      <c r="D929" s="13"/>
      <c r="E929" s="64"/>
      <c r="F929" s="64"/>
      <c r="G929" s="13"/>
      <c r="H929" s="64"/>
      <c r="I929" s="13"/>
      <c r="J929" s="64"/>
      <c r="K929" s="63"/>
      <c r="L929" s="63"/>
      <c r="M929" s="64"/>
      <c r="N929" s="13"/>
      <c r="Q929" s="26" t="s">
        <v>422</v>
      </c>
      <c r="R929" s="26"/>
      <c r="S929" s="65"/>
      <c r="T929" s="65"/>
      <c r="U929" s="13"/>
    </row>
    <row r="930">
      <c r="B930" s="51"/>
      <c r="C930" s="62"/>
      <c r="D930" s="13"/>
      <c r="E930" s="64"/>
      <c r="F930" s="64"/>
      <c r="G930" s="13"/>
      <c r="H930" s="64"/>
      <c r="I930" s="13"/>
      <c r="J930" s="64"/>
      <c r="K930" s="63"/>
      <c r="L930" s="63"/>
      <c r="M930" s="64"/>
      <c r="N930" s="13"/>
      <c r="Q930" s="26" t="s">
        <v>422</v>
      </c>
      <c r="R930" s="26"/>
      <c r="S930" s="65"/>
      <c r="T930" s="65"/>
      <c r="U930" s="13"/>
    </row>
    <row r="931">
      <c r="B931" s="51"/>
      <c r="C931" s="62"/>
      <c r="D931" s="13"/>
      <c r="E931" s="64"/>
      <c r="F931" s="64"/>
      <c r="G931" s="13"/>
      <c r="H931" s="64"/>
      <c r="I931" s="13"/>
      <c r="J931" s="64"/>
      <c r="K931" s="63"/>
      <c r="L931" s="63"/>
      <c r="M931" s="64"/>
      <c r="N931" s="13"/>
      <c r="Q931" s="26" t="s">
        <v>422</v>
      </c>
      <c r="R931" s="26"/>
      <c r="S931" s="65"/>
      <c r="T931" s="65"/>
      <c r="U931" s="13"/>
    </row>
    <row r="932">
      <c r="B932" s="51"/>
      <c r="C932" s="62"/>
      <c r="D932" s="13"/>
      <c r="E932" s="64"/>
      <c r="F932" s="64"/>
      <c r="G932" s="13"/>
      <c r="H932" s="64"/>
      <c r="I932" s="13"/>
      <c r="J932" s="64"/>
      <c r="K932" s="63"/>
      <c r="L932" s="63"/>
      <c r="M932" s="64"/>
      <c r="N932" s="13"/>
      <c r="Q932" s="26" t="s">
        <v>422</v>
      </c>
      <c r="R932" s="26"/>
      <c r="S932" s="65"/>
      <c r="T932" s="65"/>
      <c r="U932" s="13"/>
    </row>
    <row r="933">
      <c r="B933" s="51"/>
      <c r="C933" s="62"/>
      <c r="D933" s="13"/>
      <c r="E933" s="64"/>
      <c r="F933" s="64"/>
      <c r="G933" s="13"/>
      <c r="H933" s="64"/>
      <c r="I933" s="13"/>
      <c r="J933" s="64"/>
      <c r="K933" s="63"/>
      <c r="L933" s="63"/>
      <c r="M933" s="64"/>
      <c r="N933" s="13"/>
      <c r="Q933" s="26" t="s">
        <v>422</v>
      </c>
      <c r="R933" s="26"/>
      <c r="S933" s="65"/>
      <c r="T933" s="65"/>
      <c r="U933" s="13"/>
    </row>
    <row r="934">
      <c r="B934" s="51"/>
      <c r="C934" s="62"/>
      <c r="D934" s="13"/>
      <c r="E934" s="64"/>
      <c r="F934" s="64"/>
      <c r="G934" s="13"/>
      <c r="H934" s="64"/>
      <c r="I934" s="13"/>
      <c r="J934" s="64"/>
      <c r="K934" s="63"/>
      <c r="L934" s="63"/>
      <c r="M934" s="64"/>
      <c r="N934" s="13"/>
      <c r="Q934" s="26" t="s">
        <v>422</v>
      </c>
      <c r="R934" s="26"/>
      <c r="S934" s="65"/>
      <c r="T934" s="65"/>
      <c r="U934" s="13"/>
    </row>
    <row r="935">
      <c r="B935" s="51"/>
      <c r="C935" s="62"/>
      <c r="D935" s="13"/>
      <c r="E935" s="64"/>
      <c r="F935" s="64"/>
      <c r="G935" s="13"/>
      <c r="H935" s="64"/>
      <c r="I935" s="13"/>
      <c r="J935" s="64"/>
      <c r="K935" s="63"/>
      <c r="L935" s="63"/>
      <c r="M935" s="64"/>
      <c r="N935" s="13"/>
      <c r="Q935" s="26" t="s">
        <v>422</v>
      </c>
      <c r="R935" s="26"/>
      <c r="S935" s="65"/>
      <c r="T935" s="65"/>
      <c r="U935" s="13"/>
    </row>
    <row r="936">
      <c r="B936" s="51"/>
      <c r="C936" s="62"/>
      <c r="D936" s="13"/>
      <c r="E936" s="64"/>
      <c r="F936" s="64"/>
      <c r="G936" s="13"/>
      <c r="H936" s="64"/>
      <c r="I936" s="13"/>
      <c r="J936" s="64"/>
      <c r="K936" s="63"/>
      <c r="L936" s="63"/>
      <c r="M936" s="64"/>
      <c r="N936" s="13"/>
      <c r="Q936" s="26" t="s">
        <v>422</v>
      </c>
      <c r="R936" s="26"/>
      <c r="S936" s="65"/>
      <c r="T936" s="65"/>
      <c r="U936" s="13"/>
    </row>
    <row r="937">
      <c r="B937" s="51"/>
      <c r="C937" s="62"/>
      <c r="D937" s="13"/>
      <c r="E937" s="64"/>
      <c r="F937" s="64"/>
      <c r="G937" s="13"/>
      <c r="H937" s="64"/>
      <c r="I937" s="13"/>
      <c r="J937" s="64"/>
      <c r="K937" s="63"/>
      <c r="L937" s="63"/>
      <c r="M937" s="64"/>
      <c r="N937" s="13"/>
      <c r="Q937" s="26" t="s">
        <v>422</v>
      </c>
      <c r="R937" s="26"/>
      <c r="S937" s="65"/>
      <c r="T937" s="65"/>
      <c r="U937" s="13"/>
    </row>
    <row r="938">
      <c r="B938" s="51"/>
      <c r="C938" s="62"/>
      <c r="D938" s="13"/>
      <c r="E938" s="64"/>
      <c r="F938" s="64"/>
      <c r="G938" s="13"/>
      <c r="H938" s="64"/>
      <c r="I938" s="13"/>
      <c r="J938" s="64"/>
      <c r="K938" s="63"/>
      <c r="L938" s="63"/>
      <c r="M938" s="64"/>
      <c r="N938" s="13"/>
      <c r="Q938" s="26" t="s">
        <v>422</v>
      </c>
      <c r="R938" s="26"/>
      <c r="S938" s="65"/>
      <c r="T938" s="65"/>
      <c r="U938" s="13"/>
    </row>
    <row r="939">
      <c r="B939" s="51"/>
      <c r="C939" s="62"/>
      <c r="D939" s="13"/>
      <c r="E939" s="64"/>
      <c r="F939" s="64"/>
      <c r="G939" s="13"/>
      <c r="H939" s="64"/>
      <c r="I939" s="13"/>
      <c r="J939" s="64"/>
      <c r="K939" s="63"/>
      <c r="L939" s="63"/>
      <c r="M939" s="64"/>
      <c r="N939" s="13"/>
      <c r="Q939" s="26" t="s">
        <v>422</v>
      </c>
      <c r="R939" s="26"/>
      <c r="S939" s="65"/>
      <c r="T939" s="65"/>
      <c r="U939" s="13"/>
    </row>
    <row r="940">
      <c r="B940" s="51"/>
      <c r="C940" s="62"/>
      <c r="D940" s="13"/>
      <c r="E940" s="64"/>
      <c r="F940" s="64"/>
      <c r="G940" s="13"/>
      <c r="H940" s="64"/>
      <c r="I940" s="13"/>
      <c r="J940" s="64"/>
      <c r="K940" s="63"/>
      <c r="L940" s="63"/>
      <c r="M940" s="64"/>
      <c r="N940" s="13"/>
      <c r="Q940" s="26" t="s">
        <v>422</v>
      </c>
      <c r="R940" s="26"/>
      <c r="S940" s="65"/>
      <c r="T940" s="65"/>
      <c r="U940" s="13"/>
    </row>
    <row r="941">
      <c r="B941" s="51"/>
      <c r="C941" s="62"/>
      <c r="D941" s="13"/>
      <c r="E941" s="64"/>
      <c r="F941" s="64"/>
      <c r="G941" s="13"/>
      <c r="H941" s="64"/>
      <c r="I941" s="13"/>
      <c r="J941" s="64"/>
      <c r="K941" s="63"/>
      <c r="L941" s="63"/>
      <c r="M941" s="64"/>
      <c r="N941" s="13"/>
      <c r="Q941" s="26" t="s">
        <v>422</v>
      </c>
      <c r="R941" s="26"/>
      <c r="S941" s="65"/>
      <c r="T941" s="65"/>
      <c r="U941" s="13"/>
    </row>
    <row r="942">
      <c r="B942" s="51"/>
      <c r="C942" s="62"/>
      <c r="D942" s="13"/>
      <c r="E942" s="64"/>
      <c r="F942" s="64"/>
      <c r="G942" s="13"/>
      <c r="H942" s="64"/>
      <c r="I942" s="13"/>
      <c r="J942" s="64"/>
      <c r="K942" s="63"/>
      <c r="L942" s="63"/>
      <c r="M942" s="64"/>
      <c r="N942" s="13"/>
      <c r="Q942" s="26" t="s">
        <v>422</v>
      </c>
      <c r="R942" s="26"/>
      <c r="S942" s="65"/>
      <c r="T942" s="65"/>
      <c r="U942" s="13"/>
    </row>
    <row r="943">
      <c r="B943" s="51"/>
      <c r="C943" s="62"/>
      <c r="D943" s="13"/>
      <c r="E943" s="64"/>
      <c r="F943" s="64"/>
      <c r="G943" s="13"/>
      <c r="H943" s="64"/>
      <c r="I943" s="13"/>
      <c r="J943" s="64"/>
      <c r="K943" s="63"/>
      <c r="L943" s="63"/>
      <c r="M943" s="64"/>
      <c r="N943" s="13"/>
      <c r="Q943" s="26" t="s">
        <v>422</v>
      </c>
      <c r="R943" s="26"/>
      <c r="S943" s="65"/>
      <c r="T943" s="65"/>
      <c r="U943" s="13"/>
    </row>
    <row r="944">
      <c r="B944" s="51"/>
      <c r="C944" s="62"/>
      <c r="D944" s="13"/>
      <c r="E944" s="64"/>
      <c r="F944" s="64"/>
      <c r="G944" s="13"/>
      <c r="H944" s="64"/>
      <c r="I944" s="13"/>
      <c r="J944" s="64"/>
      <c r="K944" s="63"/>
      <c r="L944" s="63"/>
      <c r="M944" s="64"/>
      <c r="N944" s="13"/>
      <c r="Q944" s="26" t="s">
        <v>422</v>
      </c>
      <c r="R944" s="26"/>
      <c r="S944" s="65"/>
      <c r="T944" s="65"/>
      <c r="U944" s="13"/>
    </row>
    <row r="945">
      <c r="B945" s="51"/>
      <c r="C945" s="62"/>
      <c r="D945" s="13"/>
      <c r="E945" s="64"/>
      <c r="F945" s="64"/>
      <c r="G945" s="13"/>
      <c r="H945" s="64"/>
      <c r="I945" s="13"/>
      <c r="J945" s="64"/>
      <c r="K945" s="63"/>
      <c r="L945" s="63"/>
      <c r="M945" s="64"/>
      <c r="N945" s="13"/>
      <c r="Q945" s="26" t="s">
        <v>422</v>
      </c>
      <c r="R945" s="26"/>
      <c r="S945" s="65"/>
      <c r="T945" s="65"/>
      <c r="U945" s="13"/>
    </row>
  </sheetData>
  <mergeCells count="154">
    <mergeCell ref="M2:M3"/>
    <mergeCell ref="N2:N3"/>
    <mergeCell ref="P2:P3"/>
    <mergeCell ref="Q2:Q3"/>
    <mergeCell ref="R2:R3"/>
    <mergeCell ref="S2:S3"/>
    <mergeCell ref="T2:T3"/>
    <mergeCell ref="G2:G3"/>
    <mergeCell ref="H2:H3"/>
    <mergeCell ref="I2:I3"/>
    <mergeCell ref="J2:J3"/>
    <mergeCell ref="K2:K3"/>
    <mergeCell ref="L2:L3"/>
    <mergeCell ref="A2:A3"/>
    <mergeCell ref="B2:B3"/>
    <mergeCell ref="C2:C3"/>
    <mergeCell ref="E2:E3"/>
    <mergeCell ref="F2:F3"/>
    <mergeCell ref="M14:M17"/>
    <mergeCell ref="N14:N17"/>
    <mergeCell ref="O14:O17"/>
    <mergeCell ref="Q14:Q17"/>
    <mergeCell ref="R14:R17"/>
    <mergeCell ref="S14:S17"/>
    <mergeCell ref="T14:T17"/>
    <mergeCell ref="F14:F17"/>
    <mergeCell ref="G14:G17"/>
    <mergeCell ref="H14:H17"/>
    <mergeCell ref="I14:I17"/>
    <mergeCell ref="J14:J17"/>
    <mergeCell ref="K14:K17"/>
    <mergeCell ref="L14:L17"/>
    <mergeCell ref="A14:A17"/>
    <mergeCell ref="B14:B17"/>
    <mergeCell ref="C14:C17"/>
    <mergeCell ref="D14:D17"/>
    <mergeCell ref="E14:E17"/>
    <mergeCell ref="N24:N25"/>
    <mergeCell ref="O24:O25"/>
    <mergeCell ref="Q24:Q25"/>
    <mergeCell ref="R24:R25"/>
    <mergeCell ref="S24:S25"/>
    <mergeCell ref="T24:T25"/>
    <mergeCell ref="M24:M25"/>
    <mergeCell ref="F36:F46"/>
    <mergeCell ref="G36:G46"/>
    <mergeCell ref="H36:H46"/>
    <mergeCell ref="I36:I46"/>
    <mergeCell ref="J36:J46"/>
    <mergeCell ref="K36:K46"/>
    <mergeCell ref="L36:L46"/>
    <mergeCell ref="A36:A46"/>
    <mergeCell ref="B36:B46"/>
    <mergeCell ref="C36:C46"/>
    <mergeCell ref="D36:D46"/>
    <mergeCell ref="E36:E46"/>
    <mergeCell ref="F47:F53"/>
    <mergeCell ref="G47:G53"/>
    <mergeCell ref="H47:H53"/>
    <mergeCell ref="I47:I53"/>
    <mergeCell ref="J47:J53"/>
    <mergeCell ref="K47:K53"/>
    <mergeCell ref="L47:L53"/>
    <mergeCell ref="A47:A53"/>
    <mergeCell ref="B47:B53"/>
    <mergeCell ref="C47:C53"/>
    <mergeCell ref="D47:D53"/>
    <mergeCell ref="E47:E53"/>
    <mergeCell ref="M54:M59"/>
    <mergeCell ref="N54:N59"/>
    <mergeCell ref="O54:O59"/>
    <mergeCell ref="Q54:Q59"/>
    <mergeCell ref="R54:R59"/>
    <mergeCell ref="S54:S59"/>
    <mergeCell ref="T54:T59"/>
    <mergeCell ref="F54:F59"/>
    <mergeCell ref="G54:G59"/>
    <mergeCell ref="H54:H59"/>
    <mergeCell ref="I54:I59"/>
    <mergeCell ref="J54:J59"/>
    <mergeCell ref="K54:K59"/>
    <mergeCell ref="L54:L59"/>
    <mergeCell ref="A54:A59"/>
    <mergeCell ref="B54:B59"/>
    <mergeCell ref="C54:C59"/>
    <mergeCell ref="D54:D59"/>
    <mergeCell ref="E54:E59"/>
    <mergeCell ref="A61:A66"/>
    <mergeCell ref="B61:B66"/>
    <mergeCell ref="C61:C66"/>
    <mergeCell ref="D61:D66"/>
    <mergeCell ref="E61:E66"/>
    <mergeCell ref="M61:M66"/>
    <mergeCell ref="N61:N66"/>
    <mergeCell ref="O61:O66"/>
    <mergeCell ref="P61:P66"/>
    <mergeCell ref="Q61:Q66"/>
    <mergeCell ref="R61:R66"/>
    <mergeCell ref="S61:S66"/>
    <mergeCell ref="T61:T66"/>
    <mergeCell ref="F61:F66"/>
    <mergeCell ref="G61:G66"/>
    <mergeCell ref="H61:H66"/>
    <mergeCell ref="I61:I66"/>
    <mergeCell ref="J61:J66"/>
    <mergeCell ref="K61:K66"/>
    <mergeCell ref="L61:L66"/>
    <mergeCell ref="F24:F25"/>
    <mergeCell ref="G24:G25"/>
    <mergeCell ref="H24:H25"/>
    <mergeCell ref="I24:I25"/>
    <mergeCell ref="J24:J25"/>
    <mergeCell ref="K24:K25"/>
    <mergeCell ref="L24:L25"/>
    <mergeCell ref="A24:A25"/>
    <mergeCell ref="B24:B25"/>
    <mergeCell ref="C24:C25"/>
    <mergeCell ref="D24:D25"/>
    <mergeCell ref="E24:E25"/>
    <mergeCell ref="M26:M34"/>
    <mergeCell ref="N26:N34"/>
    <mergeCell ref="O26:O34"/>
    <mergeCell ref="Q26:Q34"/>
    <mergeCell ref="R26:R34"/>
    <mergeCell ref="S26:S34"/>
    <mergeCell ref="T26:T34"/>
    <mergeCell ref="F26:F34"/>
    <mergeCell ref="G26:G34"/>
    <mergeCell ref="H26:H34"/>
    <mergeCell ref="I26:I34"/>
    <mergeCell ref="J26:J34"/>
    <mergeCell ref="K26:K34"/>
    <mergeCell ref="L26:L34"/>
    <mergeCell ref="A26:A34"/>
    <mergeCell ref="B26:B34"/>
    <mergeCell ref="C26:C34"/>
    <mergeCell ref="D26:D34"/>
    <mergeCell ref="E26:E34"/>
    <mergeCell ref="M36:M46"/>
    <mergeCell ref="N36:N46"/>
    <mergeCell ref="O36:O46"/>
    <mergeCell ref="P36:P46"/>
    <mergeCell ref="Q36:Q46"/>
    <mergeCell ref="R36:R46"/>
    <mergeCell ref="S36:S46"/>
    <mergeCell ref="T36:T46"/>
    <mergeCell ref="M47:M53"/>
    <mergeCell ref="N47:N53"/>
    <mergeCell ref="O47:O53"/>
    <mergeCell ref="P47:P53"/>
    <mergeCell ref="Q47:Q53"/>
    <mergeCell ref="R47:R53"/>
    <mergeCell ref="S47:S53"/>
    <mergeCell ref="T47:T53"/>
  </mergeCells>
  <dataValidations>
    <dataValidation type="list" allowBlank="1" showErrorMessage="1" sqref="H2 H4:H14 H18:H24 H26 H35:H36 H47 H54 H60:H61 H67:H807">
      <formula1>"Design,Other,Implementation,Runtime"</formula1>
    </dataValidation>
    <dataValidation type="list" allowBlank="1" showErrorMessage="1" sqref="F2">
      <formula1>"Terraform,Kubernetes,Ansible,Chef,Puppet,Cloud Formation,Other,ALL (for TA)"</formula1>
    </dataValidation>
    <dataValidation type="list" allowBlank="1" showErrorMessage="1" sqref="J2 J4:J14 J18:J24 J26 J35:J36 J47 J54 J60:J61 J67:J945">
      <formula1>"Config management,Orchestration,Provisioning,Other,Image building"</formula1>
    </dataValidation>
    <dataValidation type="list" allowBlank="1" showErrorMessage="1" sqref="K73">
      <formula1>"Other,AST traversal,Configuration mining,Deep Learning - DL,LLMs,Manual annotation,Machine Learning - ML,Pattern Algorithms,Pattern Matching,Program Dependncy Graph - PDG,Regular Expressions - RegX,Rule-based checks,SMT solvers,Statistical Learners,Visito"&amp;"r Pattern,NLP,Data Dependecy Graph - DDG,Tests,Resource Graph - RG,Control Flow Graph,NA"</formula1>
    </dataValidation>
    <dataValidation type="list" allowBlank="1" showErrorMessage="1" sqref="I86">
      <formula1>"Module,Script,Project,Framework,Ohter"</formula1>
    </dataValidation>
    <dataValidation type="list" allowBlank="1" showErrorMessage="1" sqref="M2 M4:M14 M18:M24 M26 M35:M36 M47 M54 M60:M61 M67:M945">
      <formula1>"Static,Dynamic,NA,Ohter,Hybrid"</formula1>
    </dataValidation>
    <dataValidation type="list" allowBlank="1" showErrorMessage="1" sqref="S2 S4:S14 S18:S24 S26 S35:S36 S47 S54 S60:S61 S67:S945">
      <formula1>"Not available,Dataset,Code access,Both"</formula1>
    </dataValidation>
    <dataValidation type="list" allowBlank="1" showErrorMessage="1" sqref="K2 K4:K14 K18:K24 K26 K35:K36 K47 K54 K60:K61 K67:K72 K74:K945">
      <formula1>"Other,AST traversal,Configuration mining,Deep Learning - DL,LLMs,Manual annotation,Machine Learning - ML,Pattern Algorithms,Pattern Matching,Program Dependncy Graph - PDG,Regular Expressions - RegX,Rule-based checks,SMT solvers,Statistical Learners,Visito"&amp;"r Pattern,NLP,Data Dependecy Graph - DDG,Tests,Resource Graph - RG,NA,RAG,Rewriting / Refactoring"</formula1>
    </dataValidation>
    <dataValidation type="list" allowBlank="1" showErrorMessage="1" sqref="N2 N4:N14 N18:N24 N26 N35:N36 N47 N54 N60:N61 N67:N945">
      <formula1>"Yes,No"</formula1>
    </dataValidation>
    <dataValidation type="list" allowBlank="1" showErrorMessage="1" sqref="I2 I4:I14 I18:I24 I26 I35:I36 I47 I54 I60:I61 I67:I85 I87:I945">
      <formula1>"Module,Script,Project,Other,System (logs)"</formula1>
    </dataValidation>
    <dataValidation type="list" allowBlank="1" showErrorMessage="1" sqref="R2 R4:R14 R18:R24 R26 R35:R36 R47 R54 R60:R61 R67:R945">
      <formula1>"BlackBox,WhiteBox,NA"</formula1>
    </dataValidation>
    <dataValidation type="list" allowBlank="1" showErrorMessage="1" sqref="F4:F14 F18:F24 F26 F35:F36 F47 F54 F60:F61 F67:F945">
      <formula1>"Terraform,Kubernetes,Ansible,Chef,Puppet,Cloud Formation,Pulumi,Other,Multi (for TA),Docker,Docker-compose,Any,Helm,TOSCA"</formula1>
    </dataValidation>
    <dataValidation type="list" allowBlank="1" showErrorMessage="1" sqref="E2 E4:E14 E18:E24 E26 E35:E36 E47 E54 E60:E61 E67:E945">
      <formula1>"Technology Agnostic - TA,Technology Specifi - TS,Technology Dependent - TD"</formula1>
    </dataValidation>
    <dataValidation type="list" allowBlank="1" showErrorMessage="1" sqref="G2 G4:G14 G18:G24 G26 G35:G36 G47 G54 G60:G61 G67:G261">
      <formula1>"1- Structural Quality,1-1- Abstraction issues,1-2- Modularity &amp; Organization,1-3- Code structure,2- Syntactic &amp; Linguistic Quality,2-1- Naming &amp; conventions,2-2- Syntax &amp; Formatting,2-3- Language constructs,3- Security,3-1- Authentication &amp; Authorization,"&amp;"3-2- Secrets Management,3-3- Network Security,3-4- Cryptography &amp; Integrity,4- Operational Quality,4-1- Idempotency &amp; State management,4-2- Error Handling &amp; Reliability,4-3- Dependecies &amp; integration,4-4- Network,5- Performance &amp; Resource management,5-1- "&amp;"Resource Optimization,5-2- Scalability,5-3- Lifecycle management,6- Maintability &amp; Documentation,6-1- Code Readability,6-2- Version control &amp; Compatibility,6-3- Code Reusability,7- Data &amp; Variable management,7-1- Configuration Data,7-2- Vraibale managemen"&amp;"t,7-3- Template handling,8- Control Flow &amp; Logic,8-1- Program Flow,8-2- Function &amp; Method Logic,9- Domain Specific Issues,9-1- Container &amp; Orchestration,9-2- Cloud Provider Specfic,9-3- Infra components,NA"</formula1>
    </dataValidation>
    <dataValidation type="list" allowBlank="1" showErrorMessage="1" sqref="T2 T4:T14 T18:T24 T26 T35:T36 T47 T54 T60:T61 T67:T945">
      <formula1>"Github,Figshare,Docker hub,Zenodo,Kaggle,NA"</formula1>
    </dataValidation>
    <dataValidation type="list" allowBlank="1" showErrorMessage="1" sqref="L2 L4:L14 L18:L24 L26 L35:L36 L47 L54 L60:L61 L67:L945">
      <formula1>"1 - Rule-Based and Pattern-Matching Approaches,2 - Graph-Based Analyses,3 - Formal Methods,4 - Statistical and Learning-Based Methods,5 - Testing &amp; Excution based,6 - Other,NA"</formula1>
    </dataValidation>
  </dataValidations>
  <hyperlinks>
    <hyperlink r:id="rId1" ref="B2"/>
    <hyperlink r:id="rId2" ref="O2"/>
    <hyperlink r:id="rId3" ref="O3"/>
    <hyperlink r:id="rId4" ref="B4"/>
    <hyperlink r:id="rId5" ref="O4"/>
    <hyperlink r:id="rId6" ref="B5"/>
    <hyperlink r:id="rId7" ref="O5"/>
    <hyperlink r:id="rId8" ref="B6"/>
    <hyperlink r:id="rId9" ref="O6"/>
    <hyperlink r:id="rId10" ref="B7"/>
    <hyperlink r:id="rId11" ref="O7"/>
    <hyperlink r:id="rId12" ref="B8"/>
    <hyperlink r:id="rId13" ref="O8"/>
    <hyperlink r:id="rId14" ref="B9"/>
    <hyperlink r:id="rId15" ref="O9"/>
    <hyperlink r:id="rId16" ref="B10"/>
    <hyperlink r:id="rId17" ref="O10"/>
    <hyperlink r:id="rId18" ref="B11"/>
    <hyperlink r:id="rId19" ref="B12"/>
    <hyperlink r:id="rId20" ref="O12"/>
    <hyperlink r:id="rId21" ref="B13"/>
    <hyperlink r:id="rId22" ref="O13"/>
    <hyperlink r:id="rId23" ref="B14"/>
    <hyperlink r:id="rId24" ref="O14"/>
    <hyperlink r:id="rId25" ref="B18"/>
    <hyperlink r:id="rId26" ref="O18"/>
    <hyperlink r:id="rId27" ref="B19"/>
    <hyperlink r:id="rId28" ref="O19"/>
    <hyperlink r:id="rId29" ref="B20"/>
    <hyperlink r:id="rId30" ref="O20"/>
    <hyperlink r:id="rId31" ref="B21"/>
    <hyperlink r:id="rId32" ref="B22"/>
    <hyperlink r:id="rId33" ref="O22"/>
    <hyperlink r:id="rId34" ref="B23"/>
    <hyperlink r:id="rId35" ref="O23"/>
    <hyperlink r:id="rId36" ref="B24"/>
    <hyperlink r:id="rId37" ref="O24"/>
    <hyperlink r:id="rId38" ref="B26"/>
    <hyperlink r:id="rId39" ref="O26"/>
    <hyperlink r:id="rId40" ref="B35"/>
    <hyperlink r:id="rId41" ref="O35"/>
    <hyperlink r:id="rId42" ref="B36"/>
    <hyperlink r:id="rId43" ref="O36"/>
    <hyperlink r:id="rId44" ref="B47"/>
    <hyperlink r:id="rId45" ref="O47"/>
    <hyperlink r:id="rId46" ref="B54"/>
    <hyperlink r:id="rId47" ref="O54"/>
    <hyperlink r:id="rId48" ref="B60"/>
    <hyperlink r:id="rId49" ref="O60"/>
    <hyperlink r:id="rId50" ref="B61"/>
    <hyperlink r:id="rId51" ref="O61"/>
    <hyperlink r:id="rId52" ref="B67"/>
    <hyperlink r:id="rId53" ref="O67"/>
    <hyperlink r:id="rId54" ref="B68"/>
    <hyperlink r:id="rId55" ref="O68"/>
    <hyperlink r:id="rId56" ref="B69"/>
    <hyperlink r:id="rId57" ref="B70"/>
    <hyperlink r:id="rId58" ref="O70"/>
    <hyperlink r:id="rId59" ref="B71"/>
    <hyperlink r:id="rId60" ref="B72"/>
    <hyperlink r:id="rId61" ref="O72"/>
    <hyperlink r:id="rId62" ref="B73"/>
    <hyperlink r:id="rId63" ref="O73"/>
    <hyperlink r:id="rId64" ref="B74"/>
    <hyperlink r:id="rId65" ref="O74"/>
    <hyperlink r:id="rId66" ref="B75"/>
    <hyperlink r:id="rId67" ref="O75"/>
    <hyperlink r:id="rId68" ref="B76"/>
    <hyperlink r:id="rId69" ref="O76"/>
    <hyperlink r:id="rId70" ref="B77"/>
    <hyperlink r:id="rId71" ref="O77"/>
    <hyperlink r:id="rId72" ref="B78"/>
    <hyperlink r:id="rId73" ref="O78"/>
    <hyperlink r:id="rId74" ref="B79"/>
    <hyperlink r:id="rId75" ref="B80"/>
    <hyperlink r:id="rId76" ref="B81"/>
    <hyperlink r:id="rId77" ref="O81"/>
    <hyperlink r:id="rId78" ref="B82"/>
    <hyperlink r:id="rId79" ref="O82"/>
    <hyperlink r:id="rId80" ref="B83"/>
    <hyperlink r:id="rId81" ref="O83"/>
    <hyperlink r:id="rId82" ref="B84"/>
    <hyperlink r:id="rId83" ref="O84"/>
    <hyperlink r:id="rId84" ref="B85"/>
    <hyperlink r:id="rId85" ref="O85"/>
    <hyperlink r:id="rId86" ref="B86"/>
    <hyperlink r:id="rId87" ref="O86"/>
    <hyperlink r:id="rId88" ref="B87"/>
    <hyperlink r:id="rId89" ref="O87"/>
    <hyperlink r:id="rId90" ref="B88"/>
    <hyperlink r:id="rId91" location="citations" ref="B89"/>
    <hyperlink r:id="rId92" ref="B90"/>
    <hyperlink r:id="rId93" ref="B91"/>
    <hyperlink r:id="rId94" ref="B92"/>
    <hyperlink r:id="rId95" ref="O92"/>
    <hyperlink r:id="rId96" ref="B93"/>
    <hyperlink r:id="rId97" ref="B94"/>
    <hyperlink r:id="rId98" ref="O94"/>
    <hyperlink r:id="rId99" ref="B95"/>
    <hyperlink r:id="rId100" ref="B96"/>
    <hyperlink r:id="rId101" ref="O96"/>
    <hyperlink r:id="rId102" ref="B97"/>
    <hyperlink r:id="rId103" ref="O97"/>
    <hyperlink r:id="rId104" ref="B98"/>
    <hyperlink r:id="rId105" ref="O98"/>
    <hyperlink r:id="rId106" ref="B99"/>
    <hyperlink r:id="rId107" ref="O99"/>
    <hyperlink r:id="rId108" ref="B100"/>
    <hyperlink r:id="rId109" ref="O100"/>
    <hyperlink r:id="rId110" ref="B101"/>
    <hyperlink r:id="rId111" ref="B102"/>
    <hyperlink r:id="rId112" ref="O102"/>
    <hyperlink r:id="rId113" ref="B103"/>
    <hyperlink r:id="rId114" ref="B104"/>
    <hyperlink r:id="rId115" ref="O104"/>
    <hyperlink r:id="rId116" ref="B105"/>
    <hyperlink r:id="rId117" ref="O105"/>
  </hyperlinks>
  <drawing r:id="rId11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7" max="7" width="20.88"/>
    <col customWidth="1" min="10" max="10" width="38.63"/>
    <col customWidth="1" min="11" max="11" width="8.5"/>
    <col customWidth="1" min="14" max="14" width="13.25"/>
    <col customWidth="1" min="15" max="15" width="10.5"/>
  </cols>
  <sheetData>
    <row r="1">
      <c r="A1" s="66" t="str">
        <f>IFERROR(__xludf.DUMMYFUNCTION("UNIQUE(ARRAYFORMULA(TRIM(FLATTEN(SPLIT(TEXTJOIN("","", TRUE, 'Final set of papers'!E2:E1000), "","")))))"),"Technology Specifi - TS")</f>
        <v>Technology Specifi - TS</v>
      </c>
      <c r="B1" s="67">
        <f>COUNTIF('Final set of papers'!E2:E1000, "*" &amp; A1 &amp; "*")</f>
        <v>42</v>
      </c>
      <c r="D1" s="26" t="str">
        <f>IFERROR(__xludf.DUMMYFUNCTION("SORT(UNIQUE(ARRAYFORMULA(TRIM(FLATTEN(SPLIT(TEXTJOIN("","", TRUE, 'Final set of papers'!G2:G1000), "",""))))))"),"1- Structural Quality")</f>
        <v>1- Structural Quality</v>
      </c>
      <c r="E1" s="26">
        <f>COUNTIF('Final set of papers'!G2:G1000, "*" &amp; D1 &amp; "*")</f>
        <v>19</v>
      </c>
      <c r="G1" s="68" t="str">
        <f>IFERROR(__xludf.DUMMYFUNCTION("SORT(UNIQUE(ARRAYFORMULA(TRIM(FLATTEN(SPLIT(TEXTJOIN("","", TRUE, 'Final set of papers'!K2:K1000), "",""))))))"),"AST traversal")</f>
        <v>AST traversal</v>
      </c>
      <c r="H1" s="26">
        <f>COUNTIF('Final set of papers'!K2:K1000, "*" &amp; G1 &amp; "*")</f>
        <v>6</v>
      </c>
      <c r="J1" s="27" t="s">
        <v>31</v>
      </c>
      <c r="N1" s="69" t="str">
        <f>IFERROR(__xludf.DUMMYFUNCTION("SORT(UNIQUE(ARRAYFORMULA(TRIM(FLATTEN(SPLIT(TEXTJOIN("","", TRUE, 'Final set of papers'!Q2:Q1000), "",""))))))"),"2015")</f>
        <v>2015</v>
      </c>
      <c r="O1" s="70">
        <f>COUNTIF('Final set of papers'!Q2:Q1000, N1)</f>
        <v>1</v>
      </c>
    </row>
    <row r="2">
      <c r="A2" s="71" t="str">
        <f>IFERROR(__xludf.DUMMYFUNCTION("""COMPUTED_VALUE"""),"Technology Agnostic - TA")</f>
        <v>Technology Agnostic - TA</v>
      </c>
      <c r="B2" s="72">
        <f>COUNTIF('Final set of papers'!E2:E1000, "*" &amp; A2 &amp; "*")</f>
        <v>10</v>
      </c>
      <c r="D2" s="26" t="str">
        <f>IFERROR(__xludf.DUMMYFUNCTION("""COMPUTED_VALUE"""),"1-1- Abstraction issues")</f>
        <v>1-1- Abstraction issues</v>
      </c>
      <c r="E2" s="26">
        <f>COUNTIF('Final set of papers'!G2:G1000, "*" &amp; D2 &amp; "*")</f>
        <v>3</v>
      </c>
      <c r="G2" s="26" t="str">
        <f>IFERROR(__xludf.DUMMYFUNCTION("""COMPUTED_VALUE"""),"Configuration mining")</f>
        <v>Configuration mining</v>
      </c>
      <c r="H2" s="26">
        <f>COUNTIF('Final set of papers'!K2:K1000, "*" &amp; G2 &amp; "*")</f>
        <v>3</v>
      </c>
      <c r="J2" s="26" t="s">
        <v>30</v>
      </c>
      <c r="N2" s="73" t="str">
        <f>IFERROR(__xludf.DUMMYFUNCTION("""COMPUTED_VALUE"""),"2016")</f>
        <v>2016</v>
      </c>
      <c r="O2" s="74">
        <f>COUNTIF('Final set of papers'!Q2:Q1000, N2)</f>
        <v>2</v>
      </c>
    </row>
    <row r="3">
      <c r="A3" s="75" t="str">
        <f>IFERROR(__xludf.DUMMYFUNCTION("""COMPUTED_VALUE"""),"Technology Dependent - TD")</f>
        <v>Technology Dependent - TD</v>
      </c>
      <c r="B3" s="76">
        <f>COUNTIF('Final set of papers'!E3:E1000, "*" &amp; A3 &amp; "*")</f>
        <v>13</v>
      </c>
      <c r="D3" s="26" t="str">
        <f>IFERROR(__xludf.DUMMYFUNCTION("""COMPUTED_VALUE"""),"1-2- Modularity &amp; Organization")</f>
        <v>1-2- Modularity &amp; Organization</v>
      </c>
      <c r="E3" s="26">
        <f>COUNTIF('Final set of papers'!G2:G1000, "*" &amp; D3 &amp; "*")</f>
        <v>8</v>
      </c>
      <c r="G3" s="68" t="str">
        <f>IFERROR(__xludf.DUMMYFUNCTION("""COMPUTED_VALUE"""),"Control Flow Graph")</f>
        <v>Control Flow Graph</v>
      </c>
      <c r="H3" s="26">
        <f>COUNTIF('Final set of papers'!K2:K1000, "*" &amp; G3 &amp; "*")</f>
        <v>1</v>
      </c>
      <c r="J3" s="26" t="s">
        <v>287</v>
      </c>
      <c r="N3" s="73" t="str">
        <f>IFERROR(__xludf.DUMMYFUNCTION("""COMPUTED_VALUE"""),"2017")</f>
        <v>2017</v>
      </c>
      <c r="O3" s="74">
        <f>COUNTIF('Final set of papers'!Q2:Q1000, N3)</f>
        <v>1</v>
      </c>
    </row>
    <row r="4">
      <c r="D4" s="26" t="str">
        <f>IFERROR(__xludf.DUMMYFUNCTION("""COMPUTED_VALUE"""),"1-3- Code structure")</f>
        <v>1-3- Code structure</v>
      </c>
      <c r="E4" s="26">
        <f>COUNTIF('Final set of papers'!G2:G1000, "*" &amp; D4 &amp; "*")</f>
        <v>12</v>
      </c>
      <c r="G4" s="68" t="str">
        <f>IFERROR(__xludf.DUMMYFUNCTION("""COMPUTED_VALUE"""),"Data Dependecy Graph - DDG")</f>
        <v>Data Dependecy Graph - DDG</v>
      </c>
      <c r="H4" s="26">
        <f>COUNTIF('Final set of papers'!K5:K1000, "*" &amp; G4 &amp; "*")</f>
        <v>3</v>
      </c>
      <c r="J4" s="26" t="s">
        <v>423</v>
      </c>
      <c r="N4" s="73" t="str">
        <f>IFERROR(__xludf.DUMMYFUNCTION("""COMPUTED_VALUE"""),"2018")</f>
        <v>2018</v>
      </c>
      <c r="O4" s="74">
        <f>COUNTIF('Final set of papers'!Q2:Q1000, N4)</f>
        <v>2</v>
      </c>
    </row>
    <row r="5">
      <c r="D5" s="26" t="str">
        <f>IFERROR(__xludf.DUMMYFUNCTION("""COMPUTED_VALUE"""),"2- Syntactic &amp; Linguistic Quality")</f>
        <v>2- Syntactic &amp; Linguistic Quality</v>
      </c>
      <c r="E5" s="26">
        <f>COUNTIF('Final set of papers'!G2:G1000, "*" &amp; D5 &amp; "*")</f>
        <v>19</v>
      </c>
      <c r="G5" s="68" t="str">
        <f>IFERROR(__xludf.DUMMYFUNCTION("""COMPUTED_VALUE"""),"Deep Learning - DL")</f>
        <v>Deep Learning - DL</v>
      </c>
      <c r="H5" s="26">
        <f>COUNTIF('Final set of papers'!K2:K1000, "*" &amp; G5 &amp; "*")</f>
        <v>2</v>
      </c>
      <c r="J5" s="26" t="s">
        <v>88</v>
      </c>
      <c r="N5" s="73" t="str">
        <f>IFERROR(__xludf.DUMMYFUNCTION("""COMPUTED_VALUE"""),"2019")</f>
        <v>2019</v>
      </c>
      <c r="O5" s="74">
        <f>COUNTIF('Final set of papers'!Q2:Q1000, N5)</f>
        <v>3</v>
      </c>
    </row>
    <row r="6">
      <c r="A6" s="77" t="str">
        <f>IFERROR(__xludf.DUMMYFUNCTION("UNIQUE(ARRAYFORMULA(TRIM(FLATTEN(SPLIT(TEXTJOIN("","", TRUE, 'Final set of papers'!F2:F1000), "","")))))"),"Puppet")</f>
        <v>Puppet</v>
      </c>
      <c r="B6" s="78">
        <f>IFERROR(__xludf.DUMMYFUNCTION("COUNTIF(FLATTEN(ARRAYFORMULA(TRIM(SPLIT('Final set of papers'!F2:F1000, "","")))),A6)"),14.0)</f>
        <v>14</v>
      </c>
      <c r="D6" s="26" t="str">
        <f>IFERROR(__xludf.DUMMYFUNCTION("""COMPUTED_VALUE"""),"2-1- Naming &amp; conventions")</f>
        <v>2-1- Naming &amp; conventions</v>
      </c>
      <c r="E6" s="26">
        <f>COUNTIF('Final set of papers'!G2:G1000, "*" &amp; D6 &amp; "*")</f>
        <v>5</v>
      </c>
      <c r="G6" s="68" t="str">
        <f>IFERROR(__xludf.DUMMYFUNCTION("""COMPUTED_VALUE"""),"LLMs")</f>
        <v>LLMs</v>
      </c>
      <c r="H6" s="26">
        <f>COUNTIF('Final set of papers'!K7:K1000, "*" &amp; G6 &amp; "*")</f>
        <v>6</v>
      </c>
      <c r="J6" s="26" t="s">
        <v>424</v>
      </c>
      <c r="N6" s="73" t="str">
        <f>IFERROR(__xludf.DUMMYFUNCTION("""COMPUTED_VALUE"""),"2020")</f>
        <v>2020</v>
      </c>
      <c r="O6" s="74">
        <f>COUNTIF('Final set of papers'!Q2:Q1000, N6)</f>
        <v>5</v>
      </c>
    </row>
    <row r="7">
      <c r="A7" s="79" t="str">
        <f>IFERROR(__xludf.DUMMYFUNCTION("""COMPUTED_VALUE"""),"Ansible")</f>
        <v>Ansible</v>
      </c>
      <c r="B7" s="80">
        <f>IFERROR(__xludf.DUMMYFUNCTION("COUNTIF(FLATTEN(ARRAYFORMULA(TRIM(SPLIT('Final set of papers'!F2:F1000, "","")))),A7)"),16.0)</f>
        <v>16</v>
      </c>
      <c r="D7" s="26" t="str">
        <f>IFERROR(__xludf.DUMMYFUNCTION("""COMPUTED_VALUE"""),"2-2- Syntax &amp; Formatting")</f>
        <v>2-2- Syntax &amp; Formatting</v>
      </c>
      <c r="E7" s="26">
        <f>COUNTIF('Final set of papers'!G2:G1000, "*" &amp; D7 &amp; "*")</f>
        <v>7</v>
      </c>
      <c r="G7" s="68" t="str">
        <f>IFERROR(__xludf.DUMMYFUNCTION("""COMPUTED_VALUE"""),"Machine Learning - ML")</f>
        <v>Machine Learning - ML</v>
      </c>
      <c r="H7" s="26">
        <f>COUNTIF('Final set of papers'!K8:K1000, "*" &amp; G7 &amp; "*")</f>
        <v>3</v>
      </c>
      <c r="J7" s="27" t="s">
        <v>74</v>
      </c>
      <c r="N7" s="73" t="str">
        <f>IFERROR(__xludf.DUMMYFUNCTION("""COMPUTED_VALUE"""),"2021")</f>
        <v>2021</v>
      </c>
      <c r="O7" s="74">
        <f>COUNTIF('Final set of papers'!Q2:Q1000, N7)</f>
        <v>1</v>
      </c>
    </row>
    <row r="8">
      <c r="A8" s="79" t="str">
        <f>IFERROR(__xludf.DUMMYFUNCTION("""COMPUTED_VALUE"""),"Multi (for TA)")</f>
        <v>Multi (for TA)</v>
      </c>
      <c r="B8" s="80">
        <f>COUNTIF('Final set of papers'!F2:F1000, "*" &amp; A8 &amp; "*")</f>
        <v>6</v>
      </c>
      <c r="D8" s="26" t="str">
        <f>IFERROR(__xludf.DUMMYFUNCTION("""COMPUTED_VALUE"""),"2-3- Language constructs")</f>
        <v>2-3- Language constructs</v>
      </c>
      <c r="E8" s="26">
        <f>COUNTIF('Final set of papers'!G2:G1000, "*" &amp; D8 &amp; "*")</f>
        <v>8</v>
      </c>
      <c r="G8" s="26" t="str">
        <f>IFERROR(__xludf.DUMMYFUNCTION("""COMPUTED_VALUE"""),"Manual annotation")</f>
        <v>Manual annotation</v>
      </c>
      <c r="H8" s="26">
        <f>COUNTIF('Final set of papers'!K9:K1000, "*" &amp; G8 &amp; "*")</f>
        <v>2</v>
      </c>
      <c r="J8" s="27" t="s">
        <v>425</v>
      </c>
      <c r="N8" s="73" t="str">
        <f>IFERROR(__xludf.DUMMYFUNCTION("""COMPUTED_VALUE"""),"2022")</f>
        <v>2022</v>
      </c>
      <c r="O8" s="74">
        <f>COUNTIF('Final set of papers'!Q2:Q1000, N8)</f>
        <v>8</v>
      </c>
    </row>
    <row r="9">
      <c r="A9" s="79" t="str">
        <f>IFERROR(__xludf.DUMMYFUNCTION("""COMPUTED_VALUE"""),"Terraform")</f>
        <v>Terraform</v>
      </c>
      <c r="B9" s="80">
        <f>IFERROR(__xludf.DUMMYFUNCTION("COUNTIF(FLATTEN(ARRAYFORMULA(TRIM(SPLIT('Final set of papers'!F2:F1000, "","")))),A9)"),9.0)</f>
        <v>9</v>
      </c>
      <c r="D9" s="26" t="str">
        <f>IFERROR(__xludf.DUMMYFUNCTION("""COMPUTED_VALUE"""),"3- Security")</f>
        <v>3- Security</v>
      </c>
      <c r="E9" s="26">
        <f>COUNTIF('Final set of papers'!G2:G1000, "*" &amp; D9 &amp; "*")</f>
        <v>33</v>
      </c>
      <c r="G9" s="26" t="str">
        <f>IFERROR(__xludf.DUMMYFUNCTION("""COMPUTED_VALUE"""),"NA")</f>
        <v>NA</v>
      </c>
      <c r="H9" s="26">
        <f>COUNTIF('Final set of papers'!K10:K1000, "*" &amp; G9 &amp; "*")</f>
        <v>7</v>
      </c>
      <c r="J9" s="27" t="s">
        <v>426</v>
      </c>
      <c r="N9" s="73" t="str">
        <f>IFERROR(__xludf.DUMMYFUNCTION("""COMPUTED_VALUE"""),"2023")</f>
        <v>2023</v>
      </c>
      <c r="O9" s="74">
        <f>COUNTIF('Final set of papers'!Q2:Q1000, N9)</f>
        <v>17</v>
      </c>
    </row>
    <row r="10">
      <c r="A10" s="79" t="str">
        <f>IFERROR(__xludf.DUMMYFUNCTION("""COMPUTED_VALUE"""),"Chef")</f>
        <v>Chef</v>
      </c>
      <c r="B10" s="80">
        <f>COUNTIF('Final set of papers'!F2:F1000, "*" &amp; A10 &amp; "*")</f>
        <v>3</v>
      </c>
      <c r="D10" s="26" t="str">
        <f>IFERROR(__xludf.DUMMYFUNCTION("""COMPUTED_VALUE"""),"3-1- Authentication &amp; Authorization")</f>
        <v>3-1- Authentication &amp; Authorization</v>
      </c>
      <c r="E10" s="26">
        <f>COUNTIF('Final set of papers'!G11:G1000, "*" &amp; D10 &amp; "*")</f>
        <v>12</v>
      </c>
      <c r="G10" s="68" t="str">
        <f>IFERROR(__xludf.DUMMYFUNCTION("""COMPUTED_VALUE"""),"NLP")</f>
        <v>NLP</v>
      </c>
      <c r="H10" s="26">
        <f>COUNTIF('Final set of papers'!K11:K1000, "*" &amp; G10 &amp; "*")</f>
        <v>1</v>
      </c>
      <c r="J10" s="26" t="s">
        <v>427</v>
      </c>
      <c r="N10" s="73" t="str">
        <f>IFERROR(__xludf.DUMMYFUNCTION("""COMPUTED_VALUE"""),"2024")</f>
        <v>2024</v>
      </c>
      <c r="O10" s="74">
        <f>COUNTIF('Final set of papers'!Q2:Q1000, N10)</f>
        <v>17</v>
      </c>
    </row>
    <row r="11">
      <c r="A11" s="79" t="str">
        <f>IFERROR(__xludf.DUMMYFUNCTION("""COMPUTED_VALUE"""),"TOSCA")</f>
        <v>TOSCA</v>
      </c>
      <c r="B11" s="80">
        <f>COUNTIF('Final set of papers'!F2:F1000, "*" &amp; A11 &amp; "*")</f>
        <v>2</v>
      </c>
      <c r="D11" s="26" t="str">
        <f>IFERROR(__xludf.DUMMYFUNCTION("""COMPUTED_VALUE"""),"3-2- Secrets Management")</f>
        <v>3-2- Secrets Management</v>
      </c>
      <c r="E11" s="26">
        <f>COUNTIF('Final set of papers'!G12:G1000, "*" &amp; D11 &amp; "*")</f>
        <v>13</v>
      </c>
      <c r="G11" s="26" t="str">
        <f>IFERROR(__xludf.DUMMYFUNCTION("""COMPUTED_VALUE"""),"Other")</f>
        <v>Other</v>
      </c>
      <c r="H11" s="26">
        <f>COUNTIF('Final set of papers'!K2:K1000, "*" &amp; G11 &amp; "*")</f>
        <v>7</v>
      </c>
      <c r="J11" s="13" t="s">
        <v>73</v>
      </c>
      <c r="N11" s="81" t="str">
        <f>IFERROR(__xludf.DUMMYFUNCTION("""COMPUTED_VALUE"""),"2025")</f>
        <v>2025</v>
      </c>
      <c r="O11" s="82">
        <f>COUNTIF('Final set of papers'!Q2:Q1000, N11)</f>
        <v>8</v>
      </c>
    </row>
    <row r="12">
      <c r="A12" s="79" t="str">
        <f>IFERROR(__xludf.DUMMYFUNCTION("""COMPUTED_VALUE"""),"Cloud Formation")</f>
        <v>Cloud Formation</v>
      </c>
      <c r="B12" s="80">
        <f>COUNTIF('Final set of papers'!F2:F1000, "*" &amp; A12 &amp; "*")</f>
        <v>3</v>
      </c>
      <c r="D12" s="26" t="str">
        <f>IFERROR(__xludf.DUMMYFUNCTION("""COMPUTED_VALUE"""),"3-3- Network Security")</f>
        <v>3-3- Network Security</v>
      </c>
      <c r="E12" s="26">
        <f>COUNTIF('Final set of papers'!G13:G1000, "*" &amp; D12 &amp; "*")</f>
        <v>13</v>
      </c>
      <c r="G12" s="68" t="str">
        <f>IFERROR(__xludf.DUMMYFUNCTION("""COMPUTED_VALUE"""),"Pattern Algorithms")</f>
        <v>Pattern Algorithms</v>
      </c>
      <c r="H12" s="26">
        <f>COUNTIF('Final set of papers'!K2:K1000, "*" &amp; G12 &amp; "*")</f>
        <v>1</v>
      </c>
      <c r="J12" s="26" t="s">
        <v>292</v>
      </c>
    </row>
    <row r="13">
      <c r="A13" s="79" t="str">
        <f>IFERROR(__xludf.DUMMYFUNCTION("""COMPUTED_VALUE"""),"Kubernetes")</f>
        <v>Kubernetes</v>
      </c>
      <c r="B13" s="80">
        <f>COUNTIF('Final set of papers'!F2:F1000, "*" &amp; A13 &amp; "*")</f>
        <v>7</v>
      </c>
      <c r="D13" s="26" t="str">
        <f>IFERROR(__xludf.DUMMYFUNCTION("""COMPUTED_VALUE"""),"3-4- Cryptography &amp; Integrity")</f>
        <v>3-4- Cryptography &amp; Integrity</v>
      </c>
      <c r="E13" s="26">
        <f>COUNTIF('Final set of papers'!G14:G1000, "*" &amp; D13 &amp; "*")</f>
        <v>9</v>
      </c>
      <c r="G13" s="68" t="str">
        <f>IFERROR(__xludf.DUMMYFUNCTION("""COMPUTED_VALUE"""),"Pattern Matching")</f>
        <v>Pattern Matching</v>
      </c>
      <c r="H13" s="26">
        <f>COUNTIF('Final set of papers'!K2:K1000, "*" &amp; G13 &amp; "*")</f>
        <v>8</v>
      </c>
      <c r="J13" s="27" t="s">
        <v>163</v>
      </c>
    </row>
    <row r="14">
      <c r="A14" s="79" t="str">
        <f>IFERROR(__xludf.DUMMYFUNCTION("""COMPUTED_VALUE"""),"Pulumi")</f>
        <v>Pulumi</v>
      </c>
      <c r="B14" s="80">
        <f>COUNTIF('Final set of papers'!F2:F1000, "*" &amp; A14 &amp; "*")</f>
        <v>5</v>
      </c>
      <c r="D14" s="26" t="str">
        <f>IFERROR(__xludf.DUMMYFUNCTION("""COMPUTED_VALUE"""),"4- Operational Quality")</f>
        <v>4- Operational Quality</v>
      </c>
      <c r="E14" s="26">
        <f>COUNTIF('Final set of papers'!G2:G1000, "*" &amp; D14 &amp; "*")</f>
        <v>24</v>
      </c>
      <c r="G14" s="68" t="str">
        <f>IFERROR(__xludf.DUMMYFUNCTION("""COMPUTED_VALUE"""),"Program Dependncy Graph - PDG")</f>
        <v>Program Dependncy Graph - PDG</v>
      </c>
      <c r="H14" s="26">
        <f>COUNTIF('Final set of papers'!K2:K1000, "*" &amp; G14 &amp; "*")</f>
        <v>4</v>
      </c>
      <c r="J14" s="26" t="s">
        <v>162</v>
      </c>
      <c r="N14" s="83" t="s">
        <v>267</v>
      </c>
      <c r="O14" s="84">
        <v>19.0</v>
      </c>
    </row>
    <row r="15">
      <c r="A15" s="79" t="str">
        <f>IFERROR(__xludf.DUMMYFUNCTION("""COMPUTED_VALUE"""),"Docker-compose")</f>
        <v>Docker-compose</v>
      </c>
      <c r="B15" s="80">
        <f>COUNTIF('Final set of papers'!F2:F1000, "*" &amp; A15 &amp; "*")</f>
        <v>1</v>
      </c>
      <c r="D15" s="26" t="str">
        <f>IFERROR(__xludf.DUMMYFUNCTION("""COMPUTED_VALUE"""),"4-1- Idempotency &amp; State management")</f>
        <v>4-1- Idempotency &amp; State management</v>
      </c>
      <c r="E15" s="26">
        <f>COUNTIF('Final set of papers'!G16:G1000, "*" &amp; D15 &amp; "*")</f>
        <v>8</v>
      </c>
      <c r="G15" s="68" t="str">
        <f>IFERROR(__xludf.DUMMYFUNCTION("""COMPUTED_VALUE"""),"RAG")</f>
        <v>RAG</v>
      </c>
      <c r="H15" s="26">
        <f>COUNTIF('Final set of papers'!K16:K1000, "*" &amp; G15 &amp; "*")</f>
        <v>1</v>
      </c>
      <c r="J15" s="27" t="s">
        <v>57</v>
      </c>
      <c r="N15" s="85" t="s">
        <v>295</v>
      </c>
      <c r="O15" s="86">
        <v>19.0</v>
      </c>
    </row>
    <row r="16">
      <c r="A16" s="79" t="str">
        <f>IFERROR(__xludf.DUMMYFUNCTION("""COMPUTED_VALUE"""),"Docker")</f>
        <v>Docker</v>
      </c>
      <c r="B16" s="87">
        <f>IFERROR(__xludf.DUMMYFUNCTION("COUNTIF(FLATTEN(ARRAYFORMULA(TRIM(SPLIT('Final set of papers'!F2:F1000, "","")))),A16)"),7.0)</f>
        <v>7</v>
      </c>
      <c r="D16" s="26" t="str">
        <f>IFERROR(__xludf.DUMMYFUNCTION("""COMPUTED_VALUE"""),"4-2- Error Handling &amp; Reliability")</f>
        <v>4-2- Error Handling &amp; Reliability</v>
      </c>
      <c r="E16" s="26">
        <f>COUNTIF('Final set of papers'!G17:G1000, "*" &amp; D16 &amp; "*")</f>
        <v>8</v>
      </c>
      <c r="G16" s="68" t="str">
        <f>IFERROR(__xludf.DUMMYFUNCTION("""COMPUTED_VALUE"""),"Regular Expressions - RegX")</f>
        <v>Regular Expressions - RegX</v>
      </c>
      <c r="H16" s="26">
        <f>COUNTIF('Final set of papers'!K2:K1000, "*" &amp; J2 &amp; "*")</f>
        <v>7</v>
      </c>
      <c r="J16" s="26" t="s">
        <v>131</v>
      </c>
      <c r="N16" s="85" t="s">
        <v>148</v>
      </c>
      <c r="O16" s="86">
        <v>33.0</v>
      </c>
    </row>
    <row r="17">
      <c r="A17" s="88" t="str">
        <f>IFERROR(__xludf.DUMMYFUNCTION("""COMPUTED_VALUE"""),"Helm")</f>
        <v>Helm</v>
      </c>
      <c r="B17" s="89">
        <f>COUNTIF('Final set of papers'!F2:F1000, "*" &amp; A17 &amp; "*")</f>
        <v>1</v>
      </c>
      <c r="D17" s="26" t="str">
        <f>IFERROR(__xludf.DUMMYFUNCTION("""COMPUTED_VALUE"""),"4-3- Dependecies &amp; integration")</f>
        <v>4-3- Dependecies &amp; integration</v>
      </c>
      <c r="E17" s="26">
        <f>COUNTIF('Final set of papers'!G18:G1000, "*" &amp; D17 &amp; "*")</f>
        <v>8</v>
      </c>
      <c r="G17" s="68" t="str">
        <f>IFERROR(__xludf.DUMMYFUNCTION("""COMPUTED_VALUE"""),"Resource Graph - RG")</f>
        <v>Resource Graph - RG</v>
      </c>
      <c r="H17" s="26">
        <f>COUNTIF('Final set of papers'!K2:K1000, "*" &amp; G17 &amp; "*")</f>
        <v>5</v>
      </c>
      <c r="J17" s="26" t="s">
        <v>81</v>
      </c>
      <c r="N17" s="85" t="s">
        <v>255</v>
      </c>
      <c r="O17" s="86">
        <v>24.0</v>
      </c>
    </row>
    <row r="18">
      <c r="D18" s="26" t="str">
        <f>IFERROR(__xludf.DUMMYFUNCTION("""COMPUTED_VALUE"""),"5- Performance &amp; Resource management")</f>
        <v>5- Performance &amp; Resource management</v>
      </c>
      <c r="E18" s="26">
        <f>COUNTIF('Final set of papers'!G2:G1000, "*" &amp; D18 &amp; "*")</f>
        <v>11</v>
      </c>
      <c r="G18" s="26" t="str">
        <f>IFERROR(__xludf.DUMMYFUNCTION("""COMPUTED_VALUE"""),"Rewriting / Refactoring")</f>
        <v>Rewriting / Refactoring</v>
      </c>
      <c r="H18" s="26">
        <f>COUNTIF('Final set of papers'!K2:K1000, "*" &amp; G18 &amp; "*")</f>
        <v>1</v>
      </c>
      <c r="J18" s="26" t="s">
        <v>56</v>
      </c>
      <c r="N18" s="85" t="s">
        <v>428</v>
      </c>
      <c r="O18" s="86">
        <v>11.0</v>
      </c>
    </row>
    <row r="19">
      <c r="D19" s="26" t="str">
        <f>IFERROR(__xludf.DUMMYFUNCTION("""COMPUTED_VALUE"""),"5-1- Resource Optimization")</f>
        <v>5-1- Resource Optimization</v>
      </c>
      <c r="E19" s="26">
        <f>COUNTIF('Final set of papers'!G20:G1000, "*" &amp; D19 &amp; "*")</f>
        <v>5</v>
      </c>
      <c r="G19" s="68" t="str">
        <f>IFERROR(__xludf.DUMMYFUNCTION("""COMPUTED_VALUE"""),"Rule-based checks")</f>
        <v>Rule-based checks</v>
      </c>
      <c r="H19" s="26">
        <f>COUNTIF('Final set of papers'!K2:K1000, "*" &amp; G19 &amp; "*")</f>
        <v>6</v>
      </c>
      <c r="J19" s="26" t="s">
        <v>149</v>
      </c>
      <c r="N19" s="85" t="s">
        <v>408</v>
      </c>
      <c r="O19" s="86">
        <v>16.0</v>
      </c>
    </row>
    <row r="20">
      <c r="A20" s="90" t="str">
        <f>IFERROR(__xludf.DUMMYFUNCTION("UNIQUE(ARRAYFORMULA(TRIM(FLATTEN(SPLIT(TEXTJOIN("","", TRUE, 'Final set of papers'!H2:H1000), "","")))))"),"Implementation")</f>
        <v>Implementation</v>
      </c>
      <c r="B20" s="91">
        <f>COUNTIF('Final set of papers'!H2:H1000, "*" &amp; A20 &amp; "*")</f>
        <v>55</v>
      </c>
      <c r="D20" s="26" t="str">
        <f>IFERROR(__xludf.DUMMYFUNCTION("""COMPUTED_VALUE"""),"5-2- Scalability")</f>
        <v>5-2- Scalability</v>
      </c>
      <c r="E20" s="26">
        <f>COUNTIF('Final set of papers'!G21:G1000, "*" &amp; D20 &amp; "*")</f>
        <v>1</v>
      </c>
      <c r="G20" s="68" t="str">
        <f>IFERROR(__xludf.DUMMYFUNCTION("""COMPUTED_VALUE"""),"SMT solvers")</f>
        <v>SMT solvers</v>
      </c>
      <c r="H20" s="26">
        <f>COUNTIF('Final set of papers'!K21:K1000, "*" &amp; G20 &amp; "*")</f>
        <v>4</v>
      </c>
      <c r="J20" s="26" t="s">
        <v>429</v>
      </c>
      <c r="N20" s="85" t="s">
        <v>430</v>
      </c>
      <c r="O20" s="86">
        <v>16.0</v>
      </c>
    </row>
    <row r="21">
      <c r="A21" s="92" t="str">
        <f>IFERROR(__xludf.DUMMYFUNCTION("""COMPUTED_VALUE"""),"Design")</f>
        <v>Design</v>
      </c>
      <c r="B21" s="93">
        <f>COUNTIF('Final set of papers'!H2:H1000, "*" &amp; A21 &amp; "*")</f>
        <v>9</v>
      </c>
      <c r="D21" s="26" t="str">
        <f>IFERROR(__xludf.DUMMYFUNCTION("""COMPUTED_VALUE"""),"5-3- Lifecycle management")</f>
        <v>5-3- Lifecycle management</v>
      </c>
      <c r="E21" s="26">
        <f>COUNTIF('Final set of papers'!G22:G1000, "*" &amp; D21 &amp; "*")</f>
        <v>4</v>
      </c>
      <c r="G21" s="68" t="str">
        <f>IFERROR(__xludf.DUMMYFUNCTION("""COMPUTED_VALUE"""),"Statistical Learners")</f>
        <v>Statistical Learners</v>
      </c>
      <c r="H21" s="26">
        <f>COUNTIF('Final set of papers'!K2:K1000, "*" &amp; G21 &amp; "*")</f>
        <v>4</v>
      </c>
      <c r="J21" s="26" t="s">
        <v>431</v>
      </c>
      <c r="N21" s="85" t="s">
        <v>432</v>
      </c>
      <c r="O21" s="86">
        <v>11.0</v>
      </c>
    </row>
    <row r="22">
      <c r="A22" s="94" t="str">
        <f>IFERROR(__xludf.DUMMYFUNCTION("""COMPUTED_VALUE"""),"Runtime")</f>
        <v>Runtime</v>
      </c>
      <c r="B22" s="95">
        <f>COUNTIF('Final set of papers'!H2:H1000, "*" &amp; A22 &amp; "*")</f>
        <v>10</v>
      </c>
      <c r="D22" s="26" t="str">
        <f>IFERROR(__xludf.DUMMYFUNCTION("""COMPUTED_VALUE"""),"6- Maintability &amp; Documentation")</f>
        <v>6- Maintability &amp; Documentation</v>
      </c>
      <c r="E22" s="26">
        <f>COUNTIF('Final set of papers'!G2:G1000, "*" &amp; D22 &amp; "*")</f>
        <v>16</v>
      </c>
      <c r="G22" s="68" t="str">
        <f>IFERROR(__xludf.DUMMYFUNCTION("""COMPUTED_VALUE"""),"Tests")</f>
        <v>Tests</v>
      </c>
      <c r="H22" s="26">
        <f>COUNTIF('Final set of papers'!K23:K1000, "*" &amp; G22 &amp; "*")</f>
        <v>5</v>
      </c>
      <c r="J22" s="27" t="s">
        <v>433</v>
      </c>
      <c r="N22" s="96" t="s">
        <v>215</v>
      </c>
      <c r="O22" s="97">
        <v>10.0</v>
      </c>
    </row>
    <row r="23">
      <c r="D23" s="26" t="str">
        <f>IFERROR(__xludf.DUMMYFUNCTION("""COMPUTED_VALUE"""),"6-1- Code Readability")</f>
        <v>6-1- Code Readability</v>
      </c>
      <c r="E23" s="26">
        <f>COUNTIF('Final set of papers'!G24:G1000, "*" &amp; D23 &amp; "*")</f>
        <v>4</v>
      </c>
      <c r="G23" s="68" t="str">
        <f>IFERROR(__xludf.DUMMYFUNCTION("""COMPUTED_VALUE"""),"Visitor Pattern")</f>
        <v>Visitor Pattern</v>
      </c>
      <c r="H23" s="26">
        <f>COUNTIF('Final set of papers'!K2:K1000, "*" &amp; G23 &amp; "*")</f>
        <v>2</v>
      </c>
      <c r="J23" s="26" t="s">
        <v>239</v>
      </c>
    </row>
    <row r="24">
      <c r="A24" s="98" t="str">
        <f>IFERROR(__xludf.DUMMYFUNCTION("UNIQUE(ARRAYFORMULA(TRIM(FLATTEN(SPLIT(TEXTJOIN("","", TRUE, 'Final set of papers'!I2:I1000), "","")))))"),"Script")</f>
        <v>Script</v>
      </c>
      <c r="B24" s="99">
        <f>COUNTIF('Final set of papers'!I2:I1000, "*" &amp; A24 &amp; "*")</f>
        <v>50</v>
      </c>
      <c r="D24" s="26" t="str">
        <f>IFERROR(__xludf.DUMMYFUNCTION("""COMPUTED_VALUE"""),"6-2- Version control &amp; Compatibility")</f>
        <v>6-2- Version control &amp; Compatibility</v>
      </c>
      <c r="E24" s="26">
        <f>COUNTIF('Final set of papers'!G25:G1000, "*" &amp; D24 &amp; "*")</f>
        <v>3</v>
      </c>
    </row>
    <row r="25">
      <c r="A25" s="100" t="str">
        <f>IFERROR(__xludf.DUMMYFUNCTION("""COMPUTED_VALUE"""),"Module")</f>
        <v>Module</v>
      </c>
      <c r="B25" s="101">
        <f>COUNTIF('Final set of papers'!I2:I1000, "*" &amp; A25 &amp; "*")</f>
        <v>6</v>
      </c>
      <c r="D25" s="26" t="str">
        <f>IFERROR(__xludf.DUMMYFUNCTION("""COMPUTED_VALUE"""),"6-3- Code Reusability")</f>
        <v>6-3- Code Reusability</v>
      </c>
      <c r="E25" s="26">
        <f>COUNTIF('Final set of papers'!G26:G1000, "*" &amp; D25 &amp; "*")</f>
        <v>1</v>
      </c>
    </row>
    <row r="26">
      <c r="A26" s="100" t="str">
        <f>IFERROR(__xludf.DUMMYFUNCTION("""COMPUTED_VALUE"""),"Project")</f>
        <v>Project</v>
      </c>
      <c r="B26" s="101">
        <f>COUNTIF('Final set of papers'!I4:I1000, "*" &amp; A26 &amp; "*")</f>
        <v>12</v>
      </c>
      <c r="D26" s="26" t="str">
        <f>IFERROR(__xludf.DUMMYFUNCTION("""COMPUTED_VALUE"""),"7- Data &amp; Variable management")</f>
        <v>7- Data &amp; Variable management</v>
      </c>
      <c r="E26" s="26">
        <f>COUNTIF('Final set of papers'!G2:G1000, "*" &amp; D26 &amp; "*")</f>
        <v>16</v>
      </c>
      <c r="G26" s="26" t="str">
        <f>IFERROR(__xludf.DUMMYFUNCTION("SORT(UNIQUE(ARRAYFORMULA(TRIM(FLATTEN(SPLIT(TEXTJOIN("","", TRUE, #REF!), "",""))))))"),"#REF!")</f>
        <v>#REF!</v>
      </c>
      <c r="H26" s="26">
        <f t="shared" ref="H26:H31" si="1">COUNTIF(#REF!, "*" &amp; G26 &amp; "*")</f>
        <v>1</v>
      </c>
      <c r="J26" s="26" t="str">
        <f>IFERROR(__xludf.DUMMYFUNCTION("SORT(UNIQUE(ARRAYFORMULA(TRIM(FLATTEN(SPLIT(TEXTJOIN("","", TRUE, 'Final set of papers'!L2:L1000), "",""))))))"),"1 - Rule-Based and Pattern-Matching Approaches")</f>
        <v>1 - Rule-Based and Pattern-Matching Approaches</v>
      </c>
      <c r="K26" s="26">
        <f>COUNTIF('Final set of papers'!L2:L1000, "*" &amp; J26 &amp; "*")</f>
        <v>23</v>
      </c>
      <c r="N26" s="26" t="str">
        <f>IFERROR(__xludf.DUMMYFUNCTION("UNIQUE(ARRAYFORMULA(TRIM(FLATTEN(SPLIT(TEXTJOIN("","", TRUE, 'Final set of papers'!S2:S1000), "","")))))"),"Both")</f>
        <v>Both</v>
      </c>
      <c r="O26" s="26">
        <f>COUNTIF('Final set of papers'!S2:S1000, "*" &amp; N26 &amp; "*")</f>
        <v>34</v>
      </c>
    </row>
    <row r="27">
      <c r="A27" s="102"/>
      <c r="B27" s="103"/>
      <c r="D27" s="26" t="str">
        <f>IFERROR(__xludf.DUMMYFUNCTION("""COMPUTED_VALUE"""),"7-1- Configuration Data")</f>
        <v>7-1- Configuration Data</v>
      </c>
      <c r="E27" s="26">
        <f>COUNTIF('Final set of papers'!G28:G1000, "*" &amp; D27 &amp; "*")</f>
        <v>2</v>
      </c>
      <c r="H27" s="26">
        <f t="shared" si="1"/>
        <v>0</v>
      </c>
      <c r="J27" s="26" t="str">
        <f>IFERROR(__xludf.DUMMYFUNCTION("""COMPUTED_VALUE"""),"2 - Graph-Based Analyses")</f>
        <v>2 - Graph-Based Analyses</v>
      </c>
      <c r="K27" s="26">
        <f>COUNTIF('Final set of papers'!L2:L1000, "*" &amp; J27 &amp; "*")</f>
        <v>19</v>
      </c>
      <c r="N27" s="26" t="str">
        <f>IFERROR(__xludf.DUMMYFUNCTION("""COMPUTED_VALUE"""),"Code access")</f>
        <v>Code access</v>
      </c>
      <c r="O27" s="26">
        <f>COUNTIF('Final set of papers'!S2:S1000, "*" &amp; N27 &amp; "*")</f>
        <v>8</v>
      </c>
    </row>
    <row r="28">
      <c r="D28" s="26" t="str">
        <f>IFERROR(__xludf.DUMMYFUNCTION("""COMPUTED_VALUE"""),"7-2- Vraibale management")</f>
        <v>7-2- Vraibale management</v>
      </c>
      <c r="E28" s="26">
        <f>COUNTIF('Final set of papers'!G29:G1000, "*" &amp; D28 &amp; "*")</f>
        <v>2</v>
      </c>
      <c r="H28" s="26">
        <f t="shared" si="1"/>
        <v>0</v>
      </c>
      <c r="J28" s="26" t="str">
        <f>IFERROR(__xludf.DUMMYFUNCTION("""COMPUTED_VALUE"""),"3 - Formal Methods")</f>
        <v>3 - Formal Methods</v>
      </c>
      <c r="K28" s="26">
        <f>COUNTIF('Final set of papers'!L2:L1000, "*" &amp; J28 &amp; "*")</f>
        <v>5</v>
      </c>
      <c r="N28" s="26" t="str">
        <f>IFERROR(__xludf.DUMMYFUNCTION("""COMPUTED_VALUE"""),"Dataset")</f>
        <v>Dataset</v>
      </c>
      <c r="O28" s="26">
        <f>COUNTIF('Final set of papers'!S2:S1000, "*" &amp; N28 &amp; "*")</f>
        <v>9</v>
      </c>
    </row>
    <row r="29">
      <c r="D29" s="26" t="str">
        <f>IFERROR(__xludf.DUMMYFUNCTION("""COMPUTED_VALUE"""),"8- Control Flow &amp; Logic")</f>
        <v>8- Control Flow &amp; Logic</v>
      </c>
      <c r="E29" s="26">
        <f>COUNTIF('Final set of papers'!G2:G1000, "*" &amp; D29 &amp; "*")</f>
        <v>11</v>
      </c>
      <c r="H29" s="26">
        <f t="shared" si="1"/>
        <v>0</v>
      </c>
      <c r="J29" s="26" t="str">
        <f>IFERROR(__xludf.DUMMYFUNCTION("""COMPUTED_VALUE"""),"4 - Statistical and Learning-Based Methods")</f>
        <v>4 - Statistical and Learning-Based Methods</v>
      </c>
      <c r="K29" s="26">
        <f>COUNTIF('Final set of papers'!L2:L1000, "*" &amp; J29 &amp; "*")</f>
        <v>19</v>
      </c>
      <c r="N29" s="26" t="str">
        <f>IFERROR(__xludf.DUMMYFUNCTION("""COMPUTED_VALUE"""),"Not available")</f>
        <v>Not available</v>
      </c>
      <c r="O29" s="26">
        <f>COUNTIF('Final set of papers'!S2:S1000, "*" &amp; N29 &amp; "*")</f>
        <v>14</v>
      </c>
    </row>
    <row r="30">
      <c r="A30" s="26" t="str">
        <f>IFERROR(__xludf.DUMMYFUNCTION("UNIQUE(ARRAYFORMULA(TRIM(FLATTEN(SPLIT(TEXTJOIN("","", TRUE, 'Final set of papers'!J2:J1000), "","")))))"),"Config management")</f>
        <v>Config management</v>
      </c>
      <c r="B30" s="26">
        <f>COUNTIF('Final set of papers'!J2:J1000, "*" &amp; A30 &amp; "*")</f>
        <v>30</v>
      </c>
      <c r="D30" s="26" t="str">
        <f>IFERROR(__xludf.DUMMYFUNCTION("""COMPUTED_VALUE"""),"8-1- Program Flow")</f>
        <v>8-1- Program Flow</v>
      </c>
      <c r="E30" s="26">
        <f>COUNTIF('Final set of papers'!G31:G1000, "*" &amp; D30 &amp; "*")</f>
        <v>0</v>
      </c>
      <c r="H30" s="26">
        <f t="shared" si="1"/>
        <v>0</v>
      </c>
      <c r="J30" s="26" t="str">
        <f>IFERROR(__xludf.DUMMYFUNCTION("""COMPUTED_VALUE"""),"5 - Testing &amp; Excution based")</f>
        <v>5 - Testing &amp; Excution based</v>
      </c>
      <c r="K30" s="26">
        <f>COUNTIF('Final set of papers'!L2:L1000, "*" &amp; J30 &amp; "*")</f>
        <v>7</v>
      </c>
    </row>
    <row r="31">
      <c r="A31" s="26" t="str">
        <f>IFERROR(__xludf.DUMMYFUNCTION("""COMPUTED_VALUE"""),"Other")</f>
        <v>Other</v>
      </c>
      <c r="B31" s="26">
        <f>COUNTIF('Final set of papers'!J2:J1000, "*" &amp; A31 &amp; "*")</f>
        <v>7</v>
      </c>
      <c r="D31" s="26" t="str">
        <f>IFERROR(__xludf.DUMMYFUNCTION("""COMPUTED_VALUE"""),"8-2- Function &amp; Method Logic")</f>
        <v>8-2- Function &amp; Method Logic</v>
      </c>
      <c r="E31" s="26">
        <f>COUNTIF('Final set of papers'!G32:G1000, "*" &amp; D31 &amp; "*")</f>
        <v>1</v>
      </c>
      <c r="H31" s="26">
        <f t="shared" si="1"/>
        <v>0</v>
      </c>
      <c r="J31" s="26" t="str">
        <f>IFERROR(__xludf.DUMMYFUNCTION("""COMPUTED_VALUE"""),"6 - Other")</f>
        <v>6 - Other</v>
      </c>
      <c r="K31" s="26">
        <f>COUNTIF('Final set of papers'!L2:L1000, "*" &amp; J31 &amp; "*")</f>
        <v>8</v>
      </c>
    </row>
    <row r="32">
      <c r="A32" s="26" t="str">
        <f>IFERROR(__xludf.DUMMYFUNCTION("""COMPUTED_VALUE"""),"Provisioning")</f>
        <v>Provisioning</v>
      </c>
      <c r="B32" s="26">
        <f>COUNTIF('Final set of papers'!J2:J1000, "*" &amp; A32 &amp; "*")</f>
        <v>16</v>
      </c>
      <c r="D32" s="26" t="str">
        <f>IFERROR(__xludf.DUMMYFUNCTION("""COMPUTED_VALUE"""),"9- Domain Specific Issues")</f>
        <v>9- Domain Specific Issues</v>
      </c>
      <c r="E32" s="26">
        <f>COUNTIF('Final set of papers'!G2:G1000, "*" &amp; D32 &amp; "*")</f>
        <v>10</v>
      </c>
      <c r="J32" s="26" t="str">
        <f>IFERROR(__xludf.DUMMYFUNCTION("""COMPUTED_VALUE"""),"NA")</f>
        <v>NA</v>
      </c>
      <c r="K32" s="26">
        <f>COUNTIF('Final set of papers'!L2:L1000, J32)</f>
        <v>6</v>
      </c>
      <c r="N32" s="26" t="str">
        <f>IFERROR(__xludf.DUMMYFUNCTION("UNIQUE(ARRAYFORMULA(TRIM(FLATTEN(SPLIT(TEXTJOIN("","", TRUE, 'Final set of papers'!T2:T1000), "","")))))"),"Github")</f>
        <v>Github</v>
      </c>
      <c r="O32" s="26">
        <f>COUNTIF('Final set of papers'!T2:T1000, "*" &amp; N32 &amp; "*")</f>
        <v>27</v>
      </c>
      <c r="Q32" s="27" t="s">
        <v>38</v>
      </c>
      <c r="R32" s="27">
        <v>27.0</v>
      </c>
    </row>
    <row r="33">
      <c r="A33" s="26" t="str">
        <f>IFERROR(__xludf.DUMMYFUNCTION("""COMPUTED_VALUE"""),"Orchestration")</f>
        <v>Orchestration</v>
      </c>
      <c r="B33" s="26">
        <f>COUNTIF('Final set of papers'!J2:J1000, "*" &amp; A33 &amp; "*")</f>
        <v>8</v>
      </c>
      <c r="D33" s="26" t="str">
        <f>IFERROR(__xludf.DUMMYFUNCTION("""COMPUTED_VALUE"""),"9-1- Container &amp; Orchestration")</f>
        <v>9-1- Container &amp; Orchestration</v>
      </c>
      <c r="E33" s="26">
        <f>COUNTIF('Final set of papers'!G34:G1000, "*" &amp; D33 &amp; "*")</f>
        <v>2</v>
      </c>
      <c r="N33" s="26" t="str">
        <f>IFERROR(__xludf.DUMMYFUNCTION("""COMPUTED_VALUE"""),"Figshare")</f>
        <v>Figshare</v>
      </c>
      <c r="O33" s="26">
        <f>COUNTIF('Final set of papers'!T2:T1000, "*" &amp; N33 &amp; "*")</f>
        <v>18</v>
      </c>
      <c r="Q33" s="26" t="s">
        <v>68</v>
      </c>
      <c r="R33" s="27">
        <v>18.0</v>
      </c>
    </row>
    <row r="34">
      <c r="A34" s="26" t="str">
        <f>IFERROR(__xludf.DUMMYFUNCTION("""COMPUTED_VALUE"""),"Image building")</f>
        <v>Image building</v>
      </c>
      <c r="B34" s="26">
        <f>COUNTIF('Final set of papers'!J2:J1000, "*" &amp; A34 &amp; "*")</f>
        <v>7</v>
      </c>
      <c r="D34" s="26" t="str">
        <f>IFERROR(__xludf.DUMMYFUNCTION("""COMPUTED_VALUE"""),"9-2- Cloud Provider Specfic")</f>
        <v>9-2- Cloud Provider Specfic</v>
      </c>
      <c r="E34" s="26">
        <f>COUNTIF('Final set of papers'!G35:G1000, "*" &amp; D34 &amp; "*")</f>
        <v>1</v>
      </c>
      <c r="N34" s="26" t="str">
        <f>IFERROR(__xludf.DUMMYFUNCTION("""COMPUTED_VALUE"""),"Docker hub")</f>
        <v>Docker hub</v>
      </c>
      <c r="O34" s="26">
        <f>COUNTIF('Final set of papers'!T2:T1000, "*" &amp; N34 &amp; "*")</f>
        <v>2</v>
      </c>
      <c r="Q34" s="26" t="s">
        <v>434</v>
      </c>
      <c r="R34" s="27">
        <v>2.0</v>
      </c>
    </row>
    <row r="35">
      <c r="D35" s="26" t="str">
        <f>IFERROR(__xludf.DUMMYFUNCTION("""COMPUTED_VALUE"""),"9-3- Infra components")</f>
        <v>9-3- Infra components</v>
      </c>
      <c r="E35" s="26">
        <f>COUNTIF('Final set of papers'!G36:G1000, "*" &amp; D35 &amp; "*")</f>
        <v>2</v>
      </c>
      <c r="N35" s="26" t="str">
        <f>IFERROR(__xludf.DUMMYFUNCTION("""COMPUTED_VALUE"""),"NA")</f>
        <v>NA</v>
      </c>
      <c r="O35" s="26">
        <f>COUNTIF('Final set of papers'!T5:T1000, "*" &amp; N35 &amp; "*")</f>
        <v>14</v>
      </c>
      <c r="Q35" s="26" t="s">
        <v>111</v>
      </c>
      <c r="R35" s="27">
        <v>12.0</v>
      </c>
    </row>
    <row r="36">
      <c r="D36" s="26" t="str">
        <f>IFERROR(__xludf.DUMMYFUNCTION("""COMPUTED_VALUE"""),"NA")</f>
        <v>NA</v>
      </c>
      <c r="E36" s="26">
        <f>COUNTIF('Final set of papers'!G37:G1000,D36)</f>
        <v>1</v>
      </c>
      <c r="N36" s="26" t="str">
        <f>IFERROR(__xludf.DUMMYFUNCTION("""COMPUTED_VALUE"""),"Zenodo")</f>
        <v>Zenodo</v>
      </c>
      <c r="O36" s="26">
        <f>COUNTIF('Final set of papers'!T2:T1000, "*" &amp; N36 &amp; "*")</f>
        <v>12</v>
      </c>
      <c r="Q36" s="26" t="s">
        <v>435</v>
      </c>
      <c r="R36" s="27">
        <v>1.0</v>
      </c>
    </row>
    <row r="37">
      <c r="N37" s="26" t="str">
        <f>IFERROR(__xludf.DUMMYFUNCTION("""COMPUTED_VALUE"""),"Kaggle")</f>
        <v>Kaggle</v>
      </c>
      <c r="O37" s="26">
        <f>COUNTIF('Final set of papers'!T2:T1000, "*" &amp; N37 &amp; "*")</f>
        <v>1</v>
      </c>
    </row>
    <row r="38">
      <c r="A38" s="104" t="str">
        <f>IFERROR(__xludf.DUMMYFUNCTION("UNIQUE(ARRAYFORMULA(TRIM(FLATTEN(SPLIT(TEXTJOIN("","", TRUE, 'Final set of papers'!N2:N1000), "","")))))"),"Yes")</f>
        <v>Yes</v>
      </c>
      <c r="B38" s="105">
        <f>COUNTIF('Final set of papers'!N2:N1000, "*" &amp; A38 &amp; "*")</f>
        <v>57</v>
      </c>
    </row>
    <row r="39">
      <c r="A39" s="106" t="str">
        <f>IFERROR(__xludf.DUMMYFUNCTION("""COMPUTED_VALUE"""),"No")</f>
        <v>No</v>
      </c>
      <c r="B39" s="107">
        <f>COUNTIF('Final set of papers'!N2:N1000, "*" &amp; A39 &amp; "*")</f>
        <v>8</v>
      </c>
      <c r="G39" s="108" t="str">
        <f>IFERROR(__xludf.DUMMYFUNCTION("SORT(UNIQUE(ARRAYFORMULA(TRIM(FLATTEN(SPLIT(TEXTJOIN("","", TRUE, 'Final set of papers'!M2:M1000), "",""))))))"),"Dynamic")</f>
        <v>Dynamic</v>
      </c>
      <c r="H39" s="109">
        <f>COUNTIF('Final set of papers'!M2:M1000, "*" &amp; G39 &amp; "*")</f>
        <v>6</v>
      </c>
    </row>
    <row r="40">
      <c r="G40" s="110" t="str">
        <f>IFERROR(__xludf.DUMMYFUNCTION("""COMPUTED_VALUE"""),"Hybrid")</f>
        <v>Hybrid</v>
      </c>
      <c r="H40" s="111">
        <f>COUNTIF('Final set of papers'!M3:M1000, "*" &amp; G40 &amp; "*")</f>
        <v>4</v>
      </c>
    </row>
    <row r="41">
      <c r="A41" s="26" t="str">
        <f>IFERROR(__xludf.DUMMYFUNCTION("UNIQUE(ARRAYFORMULA(TRIM(FLATTEN(SPLIT(TEXTJOIN("","", TRUE, 'Final set of papers'!R2:R1000), "","")))))"),"WhiteBox")</f>
        <v>WhiteBox</v>
      </c>
      <c r="B41" s="26">
        <f>COUNTIF('Final set of papers'!R2:R1000, "*" &amp; A41 &amp; "*")</f>
        <v>56</v>
      </c>
      <c r="G41" s="112" t="str">
        <f>IFERROR(__xludf.DUMMYFUNCTION("""COMPUTED_VALUE"""),"NA")</f>
        <v>NA</v>
      </c>
      <c r="H41" s="113">
        <f>COUNTIF('Final set of papers'!M4:M1000, "*" &amp; G41 &amp; "*")</f>
        <v>14</v>
      </c>
    </row>
    <row r="42">
      <c r="A42" s="26" t="str">
        <f>IFERROR(__xludf.DUMMYFUNCTION("""COMPUTED_VALUE"""),"NA")</f>
        <v>NA</v>
      </c>
      <c r="B42" s="26">
        <f>COUNTIF('Final set of papers'!R3:R1000, A42)</f>
        <v>8</v>
      </c>
      <c r="G42" s="26" t="str">
        <f>IFERROR(__xludf.DUMMYFUNCTION("""COMPUTED_VALUE"""),"Static")</f>
        <v>Static</v>
      </c>
      <c r="H42" s="26">
        <f>COUNTIF('Final set of papers'!M2:M1000, "*" &amp; G42 &amp; "*")</f>
        <v>47</v>
      </c>
    </row>
    <row r="43">
      <c r="A43" s="26" t="str">
        <f>IFERROR(__xludf.DUMMYFUNCTION("""COMPUTED_VALUE"""),"BlackBox")</f>
        <v>BlackBox</v>
      </c>
      <c r="B43" s="26">
        <f>COUNTIF('Final set of papers'!R4:R1000, "*" &amp; A43 &amp; "*")</f>
        <v>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8"/>
    <col customWidth="1" min="2" max="2" width="14.75"/>
    <col customWidth="1" min="3" max="3" width="15.13"/>
    <col customWidth="1" min="4" max="4" width="13.25"/>
    <col customWidth="1" min="5" max="5" width="13.63"/>
    <col customWidth="1" min="6" max="6" width="15.38"/>
    <col customWidth="1" min="7" max="7" width="15.13"/>
    <col customWidth="1" min="8" max="8" width="14.88"/>
    <col customWidth="1" min="9" max="9" width="11.5"/>
    <col customWidth="1" min="10" max="10" width="14.75"/>
  </cols>
  <sheetData>
    <row r="1" ht="22.5" customHeight="1">
      <c r="A1" s="114" t="s">
        <v>436</v>
      </c>
      <c r="B1" s="115" t="s">
        <v>267</v>
      </c>
      <c r="C1" s="115" t="s">
        <v>295</v>
      </c>
      <c r="D1" s="115" t="s">
        <v>148</v>
      </c>
      <c r="E1" s="115" t="s">
        <v>255</v>
      </c>
      <c r="F1" s="115" t="s">
        <v>428</v>
      </c>
      <c r="G1" s="115" t="s">
        <v>408</v>
      </c>
      <c r="H1" s="115" t="s">
        <v>430</v>
      </c>
      <c r="I1" s="115" t="s">
        <v>432</v>
      </c>
      <c r="J1" s="115" t="s">
        <v>215</v>
      </c>
    </row>
    <row r="2" ht="22.5" customHeight="1">
      <c r="A2" s="116" t="str">
        <f>IFERROR(__xludf.DUMMYFUNCTION("UNIQUE(ARRAYFORMULA(TRIM(FLATTEN(SPLIT(TEXTJOIN("","", TRUE, 'Final set of papers'!F2:F1000), "","")))))"),"Puppet")</f>
        <v>Puppet</v>
      </c>
      <c r="B2" s="117">
        <f>COUNTIFS(
    'Final set of papers'!$F$2:$F1000, "*"&amp;A2&amp;"*",
    'Final set of papers'!$G$2:$G1000, "*"&amp;Table1[[#HEADERS],[1- Structural Quality]]&amp;"*"
)</f>
        <v>4</v>
      </c>
      <c r="C2" s="117">
        <f>COUNTIFS(
    'Final set of papers'!$F$2:$F1000, "*"&amp;A2&amp;"*",
    'Final set of papers'!$G$2:$G1000, "*"&amp;Table1[[#HEADERS],[2- Syntactic &amp; Linguistic Quality]]&amp;"*"
)</f>
        <v>3</v>
      </c>
      <c r="D2" s="117">
        <f>COUNTIFS(
    'Final set of papers'!$F$2:$F1000, "*"&amp;A2&amp;"*",
    'Final set of papers'!$G$2:$G1000, "*"&amp;Table1[[#HEADERS],[3- Security]]&amp;"*"
)</f>
        <v>5</v>
      </c>
      <c r="E2" s="117">
        <f>COUNTIFS(
    'Final set of papers'!$F$2:$F1000, "*"&amp;A2&amp;"*",
    'Final set of papers'!$G$2:$G1000, "*"&amp;Table1[[#HEADERS],[4- Operational Quality]]&amp;"*"
)</f>
        <v>3</v>
      </c>
      <c r="F2" s="117">
        <f>COUNTIFS(
    'Final set of papers'!$F$2:$F1000, "*"&amp;A2&amp;"*",
    'Final set of papers'!$G$2:$G1000, "*"&amp;Table1[[#HEADERS],[5- Performance &amp; Resource management]]&amp;"*"
)</f>
        <v>0</v>
      </c>
      <c r="G2" s="117">
        <f>COUNTIFS(
    'Final set of papers'!$F$2:$F1000, "*"&amp;A2&amp;"*",
    'Final set of papers'!$G$2:$G1000, "*"&amp;Table1[[#HEADERS],[6- Maintability &amp; Documentation]]&amp;"*"
)</f>
        <v>4</v>
      </c>
      <c r="H2" s="117">
        <f>COUNTIFS(
    'Final set of papers'!$F$2:$F1000, "*"&amp;A2&amp;"*",
    'Final set of papers'!$G$2:$G1000, "*"&amp;Table1[[#HEADERS],[7- Data &amp; Variable management]]&amp;"*"
)</f>
        <v>2</v>
      </c>
      <c r="I2" s="117">
        <f>COUNTIFS(
    'Final set of papers'!$F$2:$F1000, "*"&amp;A2&amp;"*",
    'Final set of papers'!$G$2:$G1000, "*"&amp;Table1[[#HEADERS],[8- Control Flow &amp; Logic]]&amp;"*"
)</f>
        <v>2</v>
      </c>
      <c r="J2" s="117">
        <f>COUNTIFS(
    'Final set of papers'!$F$2:$F1000, "*"&amp;A2&amp;"*",
    'Final set of papers'!$G$2:$G1000, "*"&amp;Table1[[#HEADERS],[9- Domain Specific Issues]]&amp;"*"
)</f>
        <v>1</v>
      </c>
    </row>
    <row r="3" ht="22.5" customHeight="1">
      <c r="A3" s="116" t="str">
        <f>IFERROR(__xludf.DUMMYFUNCTION("""COMPUTED_VALUE"""),"Ansible")</f>
        <v>Ansible</v>
      </c>
      <c r="B3" s="117">
        <f>COUNTIFS(
    'Final set of papers'!$F$2:$F1000, "*"&amp;A3&amp;"*",
    'Final set of papers'!$G$2:$G1000, "*"&amp;Table1[[#HEADERS],[1- Structural Quality]]&amp;"*"
)</f>
        <v>6</v>
      </c>
      <c r="C3" s="117">
        <f>COUNTIFS(
    'Final set of papers'!$F$2:$F1000, "*"&amp;A3&amp;"*",
    'Final set of papers'!$G$2:$G1000, "*"&amp;Table1[[#HEADERS],[2- Syntactic &amp; Linguistic Quality]]&amp;"*"
)</f>
        <v>9</v>
      </c>
      <c r="D3" s="117">
        <f>COUNTIFS(
    'Final set of papers'!$F$2:$F1000, "*"&amp;A3&amp;"*",
    'Final set of papers'!$G$2:$G1000, "*"&amp;Table1[[#HEADERS],[3- Security]]&amp;"*"
)</f>
        <v>9</v>
      </c>
      <c r="E3" s="117">
        <f>COUNTIFS(
    'Final set of papers'!$F$2:$F1000, "*"&amp;A3&amp;"*",
    'Final set of papers'!$G$2:$G1000, "*"&amp;Table1[[#HEADERS],[4- Operational Quality]]&amp;"*"
)</f>
        <v>6</v>
      </c>
      <c r="F3" s="117">
        <f>COUNTIFS(
    'Final set of papers'!$F$2:$F1000, "*"&amp;A3&amp;"*",
    'Final set of papers'!$G$2:$G1000, "*"&amp;Table1[[#HEADERS],[5- Performance &amp; Resource management]]&amp;"*"
)</f>
        <v>1</v>
      </c>
      <c r="G3" s="117">
        <f>COUNTIFS(
    'Final set of papers'!$F$2:$F1000, "*"&amp;A3&amp;"*",
    'Final set of papers'!$G$2:$G1000, "*"&amp;Table1[[#HEADERS],[6- Maintability &amp; Documentation]]&amp;"*"
)</f>
        <v>6</v>
      </c>
      <c r="H3" s="117">
        <f>COUNTIFS(
    'Final set of papers'!$F$2:$F1000, "*"&amp;A3&amp;"*",
    'Final set of papers'!$G$2:$G1000, "*"&amp;Table1[[#HEADERS],[7- Data &amp; Variable management]]&amp;"*"
)</f>
        <v>6</v>
      </c>
      <c r="I3" s="117">
        <f>COUNTIFS(
    'Final set of papers'!$F$2:$F1000, "*"&amp;A3&amp;"*",
    'Final set of papers'!$G$2:$G1000, "*"&amp;Table1[[#HEADERS],[8- Control Flow &amp; Logic]]&amp;"*"
)</f>
        <v>4</v>
      </c>
      <c r="J3" s="117">
        <f>COUNTIFS(
    'Final set of papers'!$F$2:$F1000, "*"&amp;A3&amp;"*",
    'Final set of papers'!$G$2:$G1000, "*"&amp;Table1[[#HEADERS],[9- Domain Specific Issues]]&amp;"*"
)</f>
        <v>3</v>
      </c>
    </row>
    <row r="4" ht="22.5" customHeight="1">
      <c r="A4" s="116" t="str">
        <f>IFERROR(__xludf.DUMMYFUNCTION("""COMPUTED_VALUE"""),"Multi (for TA)")</f>
        <v>Multi (for TA)</v>
      </c>
      <c r="B4" s="117">
        <f>COUNTIFS(
    'Final set of papers'!$F$2:$F1000, "*"&amp;A4&amp;"*",
    'Final set of papers'!$G$2:$G1000, "*"&amp;Table1[[#HEADERS],[1- Structural Quality]]&amp;"*"
)</f>
        <v>2</v>
      </c>
      <c r="C4" s="117">
        <f>COUNTIFS(
    'Final set of papers'!$F$2:$F1000, "*"&amp;A4&amp;"*",
    'Final set of papers'!$G$2:$G1000, "*"&amp;Table1[[#HEADERS],[2- Syntactic &amp; Linguistic Quality]]&amp;"*"
)</f>
        <v>2</v>
      </c>
      <c r="D4" s="117">
        <f>COUNTIFS(
    'Final set of papers'!$F$2:$F1000, "*"&amp;A4&amp;"*",
    'Final set of papers'!$G$2:$G1000, "*"&amp;Table1[[#HEADERS],[3- Security]]&amp;"*"
)</f>
        <v>5</v>
      </c>
      <c r="E4" s="117">
        <f>COUNTIFS(
    'Final set of papers'!$F$2:$F1000, "*"&amp;A4&amp;"*",
    'Final set of papers'!$G$2:$G1000, "*"&amp;Table1[[#HEADERS],[4- Operational Quality]]&amp;"*"
)</f>
        <v>2</v>
      </c>
      <c r="F4" s="117">
        <f>COUNTIFS(
    'Final set of papers'!$F$2:$F1000, "*"&amp;A4&amp;"*",
    'Final set of papers'!$G$2:$G1000, "*"&amp;Table1[[#HEADERS],[5- Performance &amp; Resource management]]&amp;"*"
)</f>
        <v>2</v>
      </c>
      <c r="G4" s="117">
        <f>COUNTIFS(
    'Final set of papers'!$F$2:$F1000, "*"&amp;A4&amp;"*",
    'Final set of papers'!$G$2:$G1000, "*"&amp;Table1[[#HEADERS],[6- Maintability &amp; Documentation]]&amp;"*"
)</f>
        <v>1</v>
      </c>
      <c r="H4" s="117">
        <f>COUNTIFS(
    'Final set of papers'!$F$2:$F1000, "*"&amp;A4&amp;"*",
    'Final set of papers'!$G$2:$G1000, "*"&amp;Table1[[#HEADERS],[7- Data &amp; Variable management]]&amp;"*"
)</f>
        <v>4</v>
      </c>
      <c r="I4" s="117">
        <f>COUNTIFS(
    'Final set of papers'!$F$2:$F1000, "*"&amp;A4&amp;"*",
    'Final set of papers'!$G$2:$G1000, "*"&amp;Table1[[#HEADERS],[8- Control Flow &amp; Logic]]&amp;"*"
)</f>
        <v>3</v>
      </c>
      <c r="J4" s="117">
        <f>COUNTIFS(
    'Final set of papers'!$F$2:$F1000, "*"&amp;A4&amp;"*",
    'Final set of papers'!$G$2:$G1000, "*"&amp;Table1[[#HEADERS],[9- Domain Specific Issues]]&amp;"*"
)</f>
        <v>1</v>
      </c>
    </row>
    <row r="5" ht="22.5" customHeight="1">
      <c r="A5" s="116" t="str">
        <f>IFERROR(__xludf.DUMMYFUNCTION("""COMPUTED_VALUE"""),"Terraform")</f>
        <v>Terraform</v>
      </c>
      <c r="B5" s="117">
        <f>COUNTIFS(
    'Final set of papers'!$F$2:$F1000, "*"&amp;A5&amp;"*",
    'Final set of papers'!$G$2:$G1000, "*"&amp;Table1[[#HEADERS],[1- Structural Quality]]&amp;"*"
)</f>
        <v>4</v>
      </c>
      <c r="C5" s="117">
        <f>COUNTIFS(
    'Final set of papers'!$F$2:$F1000, "*"&amp;A5&amp;"*",
    'Final set of papers'!$G$2:$G1000, "*"&amp;Table1[[#HEADERS],[2- Syntactic &amp; Linguistic Quality]]&amp;"*"
)</f>
        <v>1</v>
      </c>
      <c r="D5" s="117">
        <f>COUNTIFS(
    'Final set of papers'!$F$2:$F1000, "*"&amp;A5&amp;"*",
    'Final set of papers'!$G$2:$G1000, "*"&amp;Table1[[#HEADERS],[3- Security]]&amp;"*"
)</f>
        <v>3</v>
      </c>
      <c r="E5" s="117">
        <f>COUNTIFS(
    'Final set of papers'!$F$2:$F1000, "*"&amp;A5&amp;"*",
    'Final set of papers'!$G$2:$G1000, "*"&amp;Table1[[#HEADERS],[4- Operational Quality]]&amp;"*"
)</f>
        <v>4</v>
      </c>
      <c r="F5" s="117">
        <f>COUNTIFS(
    'Final set of papers'!$F$2:$F1000, "*"&amp;A5&amp;"*",
    'Final set of papers'!$G$2:$G1000, "*"&amp;Table1[[#HEADERS],[5- Performance &amp; Resource management]]&amp;"*"
)</f>
        <v>2</v>
      </c>
      <c r="G5" s="117">
        <f>COUNTIFS(
    'Final set of papers'!$F$2:$F1000, "*"&amp;A5&amp;"*",
    'Final set of papers'!$G$2:$G1000, "*"&amp;Table1[[#HEADERS],[6- Maintability &amp; Documentation]]&amp;"*"
)</f>
        <v>2</v>
      </c>
      <c r="H5" s="117">
        <f>COUNTIFS(
    'Final set of papers'!$F$2:$F1000, "*"&amp;A5&amp;"*",
    'Final set of papers'!$G$2:$G1000, "*"&amp;Table1[[#HEADERS],[7- Data &amp; Variable management]]&amp;"*"
)</f>
        <v>1</v>
      </c>
      <c r="I5" s="117">
        <f>COUNTIFS(
    'Final set of papers'!$F$2:$F1000, "*"&amp;A5&amp;"*",
    'Final set of papers'!$G$2:$G1000, "*"&amp;Table1[[#HEADERS],[8- Control Flow &amp; Logic]]&amp;"*"
)</f>
        <v>1</v>
      </c>
      <c r="J5" s="117">
        <f>COUNTIFS(
    'Final set of papers'!$F$2:$F1000, "*"&amp;A5&amp;"*",
    'Final set of papers'!$G$2:$G1000, "*"&amp;Table1[[#HEADERS],[9- Domain Specific Issues]]&amp;"*"
)</f>
        <v>2</v>
      </c>
    </row>
    <row r="6" ht="22.5" customHeight="1">
      <c r="A6" s="116" t="str">
        <f>IFERROR(__xludf.DUMMYFUNCTION("""COMPUTED_VALUE"""),"Chef")</f>
        <v>Chef</v>
      </c>
      <c r="B6" s="117">
        <f>COUNTIFS(
    'Final set of papers'!$F$2:$F1000, "*"&amp;A6&amp;"*",
    'Final set of papers'!$G$2:$G1000, "*"&amp;Table1[[#HEADERS],[1- Structural Quality]]&amp;"*"
)</f>
        <v>1</v>
      </c>
      <c r="C6" s="117">
        <f>COUNTIFS(
    'Final set of papers'!$F$2:$F1000, "*"&amp;A6&amp;"*",
    'Final set of papers'!$G$2:$G1000, "*"&amp;Table1[[#HEADERS],[2- Syntactic &amp; Linguistic Quality]]&amp;"*"
)</f>
        <v>2</v>
      </c>
      <c r="D6" s="117">
        <f>COUNTIFS(
    'Final set of papers'!$F$2:$F1000, "*"&amp;A6&amp;"*",
    'Final set of papers'!$G$2:$G1000, "*"&amp;Table1[[#HEADERS],[3- Security]]&amp;"*"
)</f>
        <v>1</v>
      </c>
      <c r="E6" s="117">
        <f>COUNTIFS(
    'Final set of papers'!$F$2:$F1000, "*"&amp;A6&amp;"*",
    'Final set of papers'!$G$2:$G1000, "*"&amp;Table1[[#HEADERS],[4- Operational Quality]]&amp;"*"
)</f>
        <v>0</v>
      </c>
      <c r="F6" s="117">
        <f>COUNTIFS(
    'Final set of papers'!$F$2:$F1000, "*"&amp;A6&amp;"*",
    'Final set of papers'!$G$2:$G1000, "*"&amp;Table1[[#HEADERS],[5- Performance &amp; Resource management]]&amp;"*"
)</f>
        <v>0</v>
      </c>
      <c r="G6" s="117">
        <f>COUNTIFS(
    'Final set of papers'!$F$2:$F1000, "*"&amp;A6&amp;"*",
    'Final set of papers'!$G$2:$G1000, "*"&amp;Table1[[#HEADERS],[6- Maintability &amp; Documentation]]&amp;"*"
)</f>
        <v>1</v>
      </c>
      <c r="H6" s="117">
        <f>COUNTIFS(
    'Final set of papers'!$F$2:$F1000, "*"&amp;A6&amp;"*",
    'Final set of papers'!$G$2:$G1000, "*"&amp;Table1[[#HEADERS],[7- Data &amp; Variable management]]&amp;"*"
)</f>
        <v>0</v>
      </c>
      <c r="I6" s="117">
        <f>COUNTIFS(
    'Final set of papers'!$F$2:$F1000, "*"&amp;A6&amp;"*",
    'Final set of papers'!$G$2:$G1000, "*"&amp;Table1[[#HEADERS],[8- Control Flow &amp; Logic]]&amp;"*"
)</f>
        <v>0</v>
      </c>
      <c r="J6" s="117">
        <f>COUNTIFS(
    'Final set of papers'!$F$2:$F1000, "*"&amp;A6&amp;"*",
    'Final set of papers'!$G$2:$G1000, "*"&amp;Table1[[#HEADERS],[9- Domain Specific Issues]]&amp;"*"
)</f>
        <v>0</v>
      </c>
    </row>
    <row r="7" ht="22.5" customHeight="1">
      <c r="A7" s="116" t="str">
        <f>IFERROR(__xludf.DUMMYFUNCTION("""COMPUTED_VALUE"""),"TOSCA")</f>
        <v>TOSCA</v>
      </c>
      <c r="B7" s="117">
        <f>COUNTIFS(
    'Final set of papers'!$F$2:$F1000, "*"&amp;A7&amp;"*",
    'Final set of papers'!$G$2:$G1000, "*"&amp;Table1[[#HEADERS],[1- Structural Quality]]&amp;"*"
)</f>
        <v>1</v>
      </c>
      <c r="C7" s="117">
        <f>COUNTIFS(
    'Final set of papers'!$F$2:$F1000, "*"&amp;A7&amp;"*",
    'Final set of papers'!$G$2:$G1000, "*"&amp;Table1[[#HEADERS],[2- Syntactic &amp; Linguistic Quality]]&amp;"*"
)</f>
        <v>0</v>
      </c>
      <c r="D7" s="117">
        <f>COUNTIFS(
    'Final set of papers'!$F$2:$F1000, "*"&amp;A7&amp;"*",
    'Final set of papers'!$G$2:$G1000, "*"&amp;Table1[[#HEADERS],[3- Security]]&amp;"*"
)</f>
        <v>1</v>
      </c>
      <c r="E7" s="117">
        <f>COUNTIFS(
    'Final set of papers'!$F$2:$F1000, "*"&amp;A7&amp;"*",
    'Final set of papers'!$G$2:$G1000, "*"&amp;Table1[[#HEADERS],[4- Operational Quality]]&amp;"*"
)</f>
        <v>1</v>
      </c>
      <c r="F7" s="117">
        <f>COUNTIFS(
    'Final set of papers'!$F$2:$F1000, "*"&amp;A7&amp;"*",
    'Final set of papers'!$G$2:$G1000, "*"&amp;Table1[[#HEADERS],[5- Performance &amp; Resource management]]&amp;"*"
)</f>
        <v>0</v>
      </c>
      <c r="G7" s="117">
        <f>COUNTIFS(
    'Final set of papers'!$F$2:$F1000, "*"&amp;A7&amp;"*",
    'Final set of papers'!$G$2:$G1000, "*"&amp;Table1[[#HEADERS],[6- Maintability &amp; Documentation]]&amp;"*"
)</f>
        <v>1</v>
      </c>
      <c r="H7" s="117">
        <f>COUNTIFS(
    'Final set of papers'!$F$2:$F1000, "*"&amp;A7&amp;"*",
    'Final set of papers'!$G$2:$G1000, "*"&amp;Table1[[#HEADERS],[7- Data &amp; Variable management]]&amp;"*"
)</f>
        <v>1</v>
      </c>
      <c r="I7" s="117">
        <f>COUNTIFS(
    'Final set of papers'!$F$2:$F1000, "*"&amp;A7&amp;"*",
    'Final set of papers'!$G$2:$G1000, "*"&amp;Table1[[#HEADERS],[8- Control Flow &amp; Logic]]&amp;"*"
)</f>
        <v>1</v>
      </c>
      <c r="J7" s="117">
        <f>COUNTIFS(
    'Final set of papers'!$F$2:$F1000, "*"&amp;A7&amp;"*",
    'Final set of papers'!$G$2:$G1000, "*"&amp;Table1[[#HEADERS],[9- Domain Specific Issues]]&amp;"*"
)</f>
        <v>1</v>
      </c>
    </row>
    <row r="8" ht="22.5" customHeight="1">
      <c r="A8" s="116" t="str">
        <f>IFERROR(__xludf.DUMMYFUNCTION("""COMPUTED_VALUE"""),"Cloud Formation")</f>
        <v>Cloud Formation</v>
      </c>
      <c r="B8" s="117">
        <f>COUNTIFS(
    'Final set of papers'!$F$2:$F1000, "*"&amp;A8&amp;"*",
    'Final set of papers'!$G$2:$G1000, "*"&amp;Table1[[#HEADERS],[1- Structural Quality]]&amp;"*"
)</f>
        <v>0</v>
      </c>
      <c r="C8" s="117">
        <f>COUNTIFS(
    'Final set of papers'!$F$2:$F1000, "*"&amp;A8&amp;"*",
    'Final set of papers'!$G$2:$G1000, "*"&amp;Table1[[#HEADERS],[2- Syntactic &amp; Linguistic Quality]]&amp;"*"
)</f>
        <v>0</v>
      </c>
      <c r="D8" s="117">
        <f>COUNTIFS(
    'Final set of papers'!$F$2:$F1000, "*"&amp;A8&amp;"*",
    'Final set of papers'!$G$2:$G1000, "*"&amp;Table1[[#HEADERS],[3- Security]]&amp;"*"
)</f>
        <v>1</v>
      </c>
      <c r="E8" s="117">
        <f>COUNTIFS(
    'Final set of papers'!$F$2:$F1000, "*"&amp;A8&amp;"*",
    'Final set of papers'!$G$2:$G1000, "*"&amp;Table1[[#HEADERS],[4- Operational Quality]]&amp;"*"
)</f>
        <v>0</v>
      </c>
      <c r="F8" s="117">
        <f>COUNTIFS(
    'Final set of papers'!$F$2:$F1000, "*"&amp;A8&amp;"*",
    'Final set of papers'!$G$2:$G1000, "*"&amp;Table1[[#HEADERS],[5- Performance &amp; Resource management]]&amp;"*"
)</f>
        <v>2</v>
      </c>
      <c r="G8" s="117">
        <f>COUNTIFS(
    'Final set of papers'!$F$2:$F1000, "*"&amp;A8&amp;"*",
    'Final set of papers'!$G$2:$G1000, "*"&amp;Table1[[#HEADERS],[6- Maintability &amp; Documentation]]&amp;"*"
)</f>
        <v>0</v>
      </c>
      <c r="H8" s="117">
        <f>COUNTIFS(
    'Final set of papers'!$F$2:$F1000, "*"&amp;A8&amp;"*",
    'Final set of papers'!$G$2:$G1000, "*"&amp;Table1[[#HEADERS],[7- Data &amp; Variable management]]&amp;"*"
)</f>
        <v>0</v>
      </c>
      <c r="I8" s="117">
        <f>COUNTIFS(
    'Final set of papers'!$F$2:$F1000, "*"&amp;A8&amp;"*",
    'Final set of papers'!$G$2:$G1000, "*"&amp;Table1[[#HEADERS],[8- Control Flow &amp; Logic]]&amp;"*"
)</f>
        <v>0</v>
      </c>
      <c r="J8" s="117">
        <f>COUNTIFS(
    'Final set of papers'!$F$2:$F1000, "*"&amp;A8&amp;"*",
    'Final set of papers'!$G$2:$G1000, "*"&amp;Table1[[#HEADERS],[9- Domain Specific Issues]]&amp;"*"
)</f>
        <v>1</v>
      </c>
    </row>
    <row r="9" ht="22.5" customHeight="1">
      <c r="A9" s="116" t="str">
        <f>IFERROR(__xludf.DUMMYFUNCTION("""COMPUTED_VALUE"""),"Kubernetes")</f>
        <v>Kubernetes</v>
      </c>
      <c r="B9" s="117">
        <f>COUNTIFS(
    'Final set of papers'!$F$2:$F1000, "*"&amp;A9&amp;"*",
    'Final set of papers'!$G$2:$G1000, "*"&amp;Table1[[#HEADERS],[1- Structural Quality]]&amp;"*"
)</f>
        <v>1</v>
      </c>
      <c r="C9" s="117">
        <f>COUNTIFS(
    'Final set of papers'!$F$2:$F1000, "*"&amp;A9&amp;"*",
    'Final set of papers'!$G$2:$G1000, "*"&amp;Table1[[#HEADERS],[2- Syntactic &amp; Linguistic Quality]]&amp;"*"
)</f>
        <v>0</v>
      </c>
      <c r="D9" s="117">
        <f>COUNTIFS(
    'Final set of papers'!$F$2:$F1000, "*"&amp;A9&amp;"*",
    'Final set of papers'!$G$2:$G1000, "*"&amp;Table1[[#HEADERS],[3- Security]]&amp;"*"
)</f>
        <v>5</v>
      </c>
      <c r="E9" s="117">
        <f>COUNTIFS(
    'Final set of papers'!$F$2:$F1000, "*"&amp;A9&amp;"*",
    'Final set of papers'!$G$2:$G1000, "*"&amp;Table1[[#HEADERS],[4- Operational Quality]]&amp;"*"
)</f>
        <v>1</v>
      </c>
      <c r="F9" s="117">
        <f>COUNTIFS(
    'Final set of papers'!$F$2:$F1000, "*"&amp;A9&amp;"*",
    'Final set of papers'!$G$2:$G1000, "*"&amp;Table1[[#HEADERS],[5- Performance &amp; Resource management]]&amp;"*"
)</f>
        <v>1</v>
      </c>
      <c r="G9" s="117">
        <f>COUNTIFS(
    'Final set of papers'!$F$2:$F1000, "*"&amp;A9&amp;"*",
    'Final set of papers'!$G$2:$G1000, "*"&amp;Table1[[#HEADERS],[6- Maintability &amp; Documentation]]&amp;"*"
)</f>
        <v>0</v>
      </c>
      <c r="H9" s="117">
        <f>COUNTIFS(
    'Final set of papers'!$F$2:$F1000, "*"&amp;A9&amp;"*",
    'Final set of papers'!$G$2:$G1000, "*"&amp;Table1[[#HEADERS],[7- Data &amp; Variable management]]&amp;"*"
)</f>
        <v>0</v>
      </c>
      <c r="I9" s="117">
        <f>COUNTIFS(
    'Final set of papers'!$F$2:$F1000, "*"&amp;A9&amp;"*",
    'Final set of papers'!$G$2:$G1000, "*"&amp;Table1[[#HEADERS],[8- Control Flow &amp; Logic]]&amp;"*"
)</f>
        <v>0</v>
      </c>
      <c r="J9" s="117">
        <f>COUNTIFS(
    'Final set of papers'!$F$2:$F1000, "*"&amp;A9&amp;"*",
    'Final set of papers'!$G$2:$G1000, "*"&amp;Table1[[#HEADERS],[9- Domain Specific Issues]]&amp;"*"
)</f>
        <v>1</v>
      </c>
    </row>
    <row r="10" ht="22.5" customHeight="1">
      <c r="A10" s="116" t="str">
        <f>IFERROR(__xludf.DUMMYFUNCTION("""COMPUTED_VALUE"""),"Pulumi")</f>
        <v>Pulumi</v>
      </c>
      <c r="B10" s="117">
        <f>COUNTIFS(
    'Final set of papers'!$F$2:$F1000, "*"&amp;A10&amp;"*",
    'Final set of papers'!$G$2:$G1000, "*"&amp;Table1[[#HEADERS],[1- Structural Quality]]&amp;"*"
)</f>
        <v>0</v>
      </c>
      <c r="C10" s="117">
        <f>COUNTIFS(
    'Final set of papers'!$F$2:$F1000, "*"&amp;A10&amp;"*",
    'Final set of papers'!$G$2:$G1000, "*"&amp;Table1[[#HEADERS],[2- Syntactic &amp; Linguistic Quality]]&amp;"*"
)</f>
        <v>1</v>
      </c>
      <c r="D10" s="117">
        <f>COUNTIFS(
    'Final set of papers'!$F$2:$F1000, "*"&amp;A10&amp;"*",
    'Final set of papers'!$G$2:$G1000, "*"&amp;Table1[[#HEADERS],[3- Security]]&amp;"*"
)</f>
        <v>2</v>
      </c>
      <c r="E10" s="117">
        <f>COUNTIFS(
    'Final set of papers'!$F$2:$F1000, "*"&amp;A10&amp;"*",
    'Final set of papers'!$G$2:$G1000, "*"&amp;Table1[[#HEADERS],[4- Operational Quality]]&amp;"*"
)</f>
        <v>4</v>
      </c>
      <c r="F10" s="117">
        <f>COUNTIFS(
    'Final set of papers'!$F$2:$F1000, "*"&amp;A10&amp;"*",
    'Final set of papers'!$G$2:$G1000, "*"&amp;Table1[[#HEADERS],[5- Performance &amp; Resource management]]&amp;"*"
)</f>
        <v>0</v>
      </c>
      <c r="G10" s="117">
        <f>COUNTIFS(
    'Final set of papers'!$F$2:$F1000, "*"&amp;A10&amp;"*",
    'Final set of papers'!$G$2:$G1000, "*"&amp;Table1[[#HEADERS],[6- Maintability &amp; Documentation]]&amp;"*"
)</f>
        <v>0</v>
      </c>
      <c r="H10" s="117">
        <f>COUNTIFS(
    'Final set of papers'!$F$2:$F1000, "*"&amp;A10&amp;"*",
    'Final set of papers'!$G$2:$G1000, "*"&amp;Table1[[#HEADERS],[7- Data &amp; Variable management]]&amp;"*"
)</f>
        <v>1</v>
      </c>
      <c r="I10" s="117">
        <f>COUNTIFS(
    'Final set of papers'!$F$2:$F1000, "*"&amp;A10&amp;"*",
    'Final set of papers'!$G$2:$G1000, "*"&amp;Table1[[#HEADERS],[8- Control Flow &amp; Logic]]&amp;"*"
)</f>
        <v>0</v>
      </c>
      <c r="J10" s="117">
        <f>COUNTIFS(
    'Final set of papers'!$F$2:$F1000, "*"&amp;A10&amp;"*",
    'Final set of papers'!$G$2:$G1000, "*"&amp;Table1[[#HEADERS],[9- Domain Specific Issues]]&amp;"*"
)</f>
        <v>0</v>
      </c>
    </row>
    <row r="11" ht="22.5" customHeight="1">
      <c r="A11" s="116" t="str">
        <f>IFERROR(__xludf.DUMMYFUNCTION("""COMPUTED_VALUE"""),"Docker-compose")</f>
        <v>Docker-compose</v>
      </c>
      <c r="B11" s="117">
        <f>COUNTIFS(
    'Final set of papers'!$F$2:$F1000, "*"&amp;A11&amp;"*",
    'Final set of papers'!$G$2:$G1000, "*"&amp;Table1[[#HEADERS],[1- Structural Quality]]&amp;"*"
)</f>
        <v>1</v>
      </c>
      <c r="C11" s="117">
        <f>COUNTIFS(
    'Final set of papers'!$F$2:$F1000, "*"&amp;A11&amp;"*",
    'Final set of papers'!$G$2:$G1000, "*"&amp;Table1[[#HEADERS],[2- Syntactic &amp; Linguistic Quality]]&amp;"*"
)</f>
        <v>0</v>
      </c>
      <c r="D11" s="117">
        <f>COUNTIFS(
    'Final set of papers'!$F$2:$F1000, "*"&amp;A11&amp;"*",
    'Final set of papers'!$G$2:$G1000, "*"&amp;Table1[[#HEADERS],[3- Security]]&amp;"*"
)</f>
        <v>1</v>
      </c>
      <c r="E11" s="117">
        <f>COUNTIFS(
    'Final set of papers'!$F$2:$F1000, "*"&amp;A11&amp;"*",
    'Final set of papers'!$G$2:$G1000, "*"&amp;Table1[[#HEADERS],[4- Operational Quality]]&amp;"*"
)</f>
        <v>1</v>
      </c>
      <c r="F11" s="117">
        <f>COUNTIFS(
    'Final set of papers'!$F$2:$F1000, "*"&amp;A11&amp;"*",
    'Final set of papers'!$G$2:$G1000, "*"&amp;Table1[[#HEADERS],[5- Performance &amp; Resource management]]&amp;"*"
)</f>
        <v>1</v>
      </c>
      <c r="G11" s="117">
        <f>COUNTIFS(
    'Final set of papers'!$F$2:$F1000, "*"&amp;A11&amp;"*",
    'Final set of papers'!$G$2:$G1000, "*"&amp;Table1[[#HEADERS],[6- Maintability &amp; Documentation]]&amp;"*"
)</f>
        <v>1</v>
      </c>
      <c r="H11" s="117">
        <f>COUNTIFS(
    'Final set of papers'!$F$2:$F1000, "*"&amp;A11&amp;"*",
    'Final set of papers'!$G$2:$G1000, "*"&amp;Table1[[#HEADERS],[7- Data &amp; Variable management]]&amp;"*"
)</f>
        <v>0</v>
      </c>
      <c r="I11" s="117">
        <f>COUNTIFS(
    'Final set of papers'!$F$2:$F1000, "*"&amp;A11&amp;"*",
    'Final set of papers'!$G$2:$G1000, "*"&amp;Table1[[#HEADERS],[8- Control Flow &amp; Logic]]&amp;"*"
)</f>
        <v>0</v>
      </c>
      <c r="J11" s="117">
        <f>COUNTIFS(
    'Final set of papers'!$F$2:$F1000, "*"&amp;A11&amp;"*",
    'Final set of papers'!$G$2:$G1000, "*"&amp;Table1[[#HEADERS],[9- Domain Specific Issues]]&amp;"*"
)</f>
        <v>1</v>
      </c>
    </row>
    <row r="12" ht="22.5" customHeight="1">
      <c r="A12" s="116" t="str">
        <f>IFERROR(__xludf.DUMMYFUNCTION("""COMPUTED_VALUE"""),"Docker")</f>
        <v>Docker</v>
      </c>
      <c r="B12" s="117">
        <f>IFERROR(__xludf.DUMMYFUNCTION("COUNTIF(
   FLATTEN(
      ARRAYFORMULA(
         TRIM(
            SPLIT(
               FILTER(
                  'Final set of papers'!$F$2:$F1000,
                  REGEXMATCH('Final set of papers'!$G$2:$G1000, "".*""&amp;Table1[[#HEADERS],[1- Structural "&amp;"Quality]]&amp;"".*"")
               ),
               "",""
            )
         )
      )
   ),
   A12
)"),2.0)</f>
        <v>2</v>
      </c>
      <c r="C12" s="117">
        <f>IFERROR(__xludf.DUMMYFUNCTION("COUNTIF(
   FLATTEN(
      ARRAYFORMULA(
         TRIM(
            SPLIT(
               FILTER(
                  'Final set of papers'!$F$2:$F1000,
                  REGEXMATCH('Final set of papers'!$G$2:$G1000, "".*""&amp;Table1[[#HEADERS],[2- Syntactic &amp;"&amp;" Linguistic Quality]]&amp;"".*"")
               ),
               "",""
            )
         )
      )
   ),
   A12
)"),3.0)</f>
        <v>3</v>
      </c>
      <c r="D12" s="117">
        <f>IFERROR(__xludf.DUMMYFUNCTION("COUNTIF(
   FLATTEN(
      ARRAYFORMULA(
         TRIM(
            SPLIT(
               FILTER(
                  'Final set of papers'!$F$2:$F1000,
                  REGEXMATCH('Final set of papers'!$G$2:$G1000, "".*""&amp;Table1[[#HEADERS],[3- Security]]&amp;"&amp;""".*"")
               ),
               "",""
            )
         )
      )
   ),
   A12
)"),3.0)</f>
        <v>3</v>
      </c>
      <c r="E12" s="117">
        <f>IFERROR(__xludf.DUMMYFUNCTION("COUNTIF(
   FLATTEN(
      ARRAYFORMULA(
         TRIM(
            SPLIT(
               FILTER(
                  'Final set of papers'!$F$2:$F1000,
                  REGEXMATCH('Final set of papers'!$G$2:$G1000, "".*""&amp;Table1[[#HEADERS],[4- Operational"&amp;" Quality]]&amp;"".*"")
               ),
               "",""
            )
         )
      )
   ),
   A12
)"),3.0)</f>
        <v>3</v>
      </c>
      <c r="F12" s="117">
        <f>IFERROR(__xludf.DUMMYFUNCTION("COUNTIF(
   FLATTEN(
      ARRAYFORMULA(
         TRIM(
            SPLIT(
               FILTER(
                  'Final set of papers'!$F$2:$F1000,
                  REGEXMATCH('Final set of papers'!$G$2:$G1000, "".*""&amp;Table1[[#HEADERS],[5- Performance"&amp;" &amp; Resource management]]&amp;"".*"")
               ),
               "",""
            )
         )
      )
   ),
   A12
)"),3.0)</f>
        <v>3</v>
      </c>
      <c r="G12" s="117">
        <f>IFERROR(__xludf.DUMMYFUNCTION("COUNTIF(
   FLATTEN(
      ARRAYFORMULA(
         TRIM(
            SPLIT(
               FILTER(
                  'Final set of papers'!$F$2:$F1000,
                  REGEXMATCH('Final set of papers'!$G$2:$G1000, "".*""&amp;Table1[[#HEADERS],[6- Maintabilit"&amp;"y &amp; Documentation]]&amp;"".*"")
               ),
               "",""
            )
         )
      )
   ),
   A12
)"),2.0)</f>
        <v>2</v>
      </c>
      <c r="H12" s="117">
        <f>IFERROR(__xludf.DUMMYFUNCTION("COUNTIF(
   FLATTEN(
      ARRAYFORMULA(
         TRIM(
            SPLIT(
               FILTER(
                  'Final set of papers'!$F$2:$F1000,
                  REGEXMATCH('Final set of papers'!$G$2:$G1000, "".*""&amp;Table1[[#HEADERS],[7- Data &amp; Vari"&amp;"able management]]&amp;"".*"")
               ),
               "",""
            )
         )
      )
   ),
   A12
)"),2.0)</f>
        <v>2</v>
      </c>
      <c r="I12" s="117">
        <f>IFERROR(__xludf.DUMMYFUNCTION("COUNTIF(
   FLATTEN(
      ARRAYFORMULA(
         TRIM(
            SPLIT(
               FILTER(
                  'Final set of papers'!$F$2:$F1000,
                  REGEXMATCH('Final set of papers'!$G$2:$G1000, "".*""&amp;Table1[[#HEADERS],[8- Control Flo"&amp;"w &amp; Logic]]&amp;"".*"")
               ),
               "",""
            )
         )
      )
   ),
   A12
)"),1.0)</f>
        <v>1</v>
      </c>
      <c r="J12" s="117">
        <f>IFERROR(__xludf.DUMMYFUNCTION("COUNTIF(
   FLATTEN(
      ARRAYFORMULA(
         TRIM(
            SPLIT(
               FILTER(
                  'Final set of papers'!$F$2:$F1000,
                  REGEXMATCH('Final set of papers'!$G$2:$G1000, "".*""&amp;Table1[[#HEADERS],[9- Domain Spec"&amp;"ific Issues]]&amp;"".*"")
               ),
               "",""
            )
         )
      )
   ),
   A12
)"),1.0)</f>
        <v>1</v>
      </c>
    </row>
    <row r="13" ht="22.5" customHeight="1">
      <c r="A13" s="116" t="str">
        <f>IFERROR(__xludf.DUMMYFUNCTION("""COMPUTED_VALUE"""),"Helm")</f>
        <v>Helm</v>
      </c>
      <c r="B13" s="117">
        <f>COUNTIFS(
    'Final set of papers'!$F$2:$F1000, "*"&amp;A13&amp;"*",
    'Final set of papers'!$G$2:$G1000, "*"&amp;Table1[[#HEADERS],[1- Structural Quality]]&amp;"*"
)</f>
        <v>1</v>
      </c>
      <c r="C13" s="117">
        <f>COUNTIFS(
    'Final set of papers'!$F$2:$F1000, "*"&amp;A13&amp;"*",
    'Final set of papers'!$G$2:$G1000, "*"&amp;Table1[[#HEADERS],[2- Syntactic &amp; Linguistic Quality]]&amp;"*"
)</f>
        <v>0</v>
      </c>
      <c r="D13" s="117">
        <f>COUNTIFS(
    'Final set of papers'!$F$2:$F1000, "*"&amp;A13&amp;"*",
    'Final set of papers'!$G$2:$G1000, "*"&amp;Table1[[#HEADERS],[3- Security]]&amp;"*"
)</f>
        <v>0</v>
      </c>
      <c r="E13" s="117">
        <f>COUNTIFS(
    'Final set of papers'!$F$2:$F1000, "*"&amp;A13&amp;"*",
    'Final set of papers'!$G$2:$G1000, "*"&amp;Table1[[#HEADERS],[4- Operational Quality]]&amp;"*"
)</f>
        <v>0</v>
      </c>
      <c r="F13" s="117">
        <f>COUNTIFS(
    'Final set of papers'!$F$2:$F1000, "*"&amp;A13&amp;"*",
    'Final set of papers'!$G$2:$G1000, "*"&amp;Table1[[#HEADERS],[5- Performance &amp; Resource management]]&amp;"*"
)</f>
        <v>0</v>
      </c>
      <c r="G13" s="117">
        <f>COUNTIFS(
    'Final set of papers'!$F$2:$F1000, "*"&amp;A13&amp;"*",
    'Final set of papers'!$G$2:$G1000, "*"&amp;Table1[[#HEADERS],[6- Maintability &amp; Documentation]]&amp;"*"
)</f>
        <v>0</v>
      </c>
      <c r="H13" s="117">
        <f>COUNTIFS(
    'Final set of papers'!$F$2:$F1000, "*"&amp;A13&amp;"*",
    'Final set of papers'!$G$2:$G1000, "*"&amp;Table1[[#HEADERS],[7- Data &amp; Variable management]]&amp;"*"
)</f>
        <v>0</v>
      </c>
      <c r="I13" s="117">
        <f>COUNTIFS(
    'Final set of papers'!$F$2:$F1000, "*"&amp;A13&amp;"*",
    'Final set of papers'!$G$2:$G1000, "*"&amp;Table1[[#HEADERS],[8- Control Flow &amp; Logic]]&amp;"*"
)</f>
        <v>0</v>
      </c>
      <c r="J13" s="117">
        <f>COUNTIFS(
    'Final set of papers'!$F$2:$F1000, "*"&amp;A13&amp;"*",
    'Final set of papers'!$G$2:$G1000, "*"&amp;Table1[[#HEADERS],[9- Domain Specific Issues]]&amp;"*"
)</f>
        <v>0</v>
      </c>
    </row>
    <row r="16">
      <c r="E16" s="27"/>
      <c r="G16" s="27"/>
    </row>
    <row r="17">
      <c r="G17" s="27"/>
    </row>
    <row r="18">
      <c r="G18" s="27"/>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22.5" customHeight="1">
      <c r="A1" s="114" t="s">
        <v>437</v>
      </c>
      <c r="B1" s="115" t="s">
        <v>267</v>
      </c>
      <c r="C1" s="115" t="s">
        <v>295</v>
      </c>
      <c r="D1" s="115" t="s">
        <v>148</v>
      </c>
      <c r="E1" s="115" t="s">
        <v>255</v>
      </c>
      <c r="F1" s="115" t="s">
        <v>428</v>
      </c>
      <c r="G1" s="115" t="s">
        <v>408</v>
      </c>
      <c r="H1" s="115" t="s">
        <v>430</v>
      </c>
      <c r="I1" s="115" t="s">
        <v>432</v>
      </c>
      <c r="J1" s="115" t="s">
        <v>215</v>
      </c>
    </row>
    <row r="2" ht="22.5" customHeight="1">
      <c r="A2" s="118" t="s">
        <v>29</v>
      </c>
      <c r="B2" s="117">
        <f>COUNTIFS(
    'Final set of papers'!$J$2:$J990, "*"&amp;A2&amp;"*",
    'Final set of papers'!$G$2:$G990, "*"&amp;Table2[[#HEADERS],[1- Structural Quality]]&amp;"*"
)</f>
        <v>10</v>
      </c>
      <c r="C2" s="117">
        <f>COUNTIFS(
    'Final set of papers'!$J$2:$J990, "*"&amp;A2&amp;"*",
    'Final set of papers'!$G$2:$G990, "*"&amp;Table2[[#HEADERS],[2- Syntactic &amp; Linguistic Quality]]&amp;"*"
)</f>
        <v>12</v>
      </c>
      <c r="D2" s="117">
        <f>COUNTIFS(
    'Final set of papers'!$J$2:$J990, "*"&amp;A2&amp;"*",
    'Final set of papers'!$G$2:$G990, "*"&amp;Table2[[#HEADERS],[3- Security]]&amp;"*"
)</f>
        <v>14</v>
      </c>
      <c r="E2" s="117">
        <f>COUNTIFS(
    'Final set of papers'!$J$2:$J990, "*"&amp;A2&amp;"*",
    'Final set of papers'!$G$2:$G990, "*"&amp;Table2[[#HEADERS],[4- Operational Quality]]&amp;"*"
)</f>
        <v>9</v>
      </c>
      <c r="F2" s="117">
        <f>COUNTIFS(
    'Final set of papers'!$J$2:$J990, "*"&amp;A2&amp;"*",
    'Final set of papers'!$G$2:$G990, "*"&amp;Table2[[#HEADERS],[5- Performance &amp; Resource management]]&amp;"*"
)</f>
        <v>1</v>
      </c>
      <c r="G2" s="117">
        <f>COUNTIFS(
    'Final set of papers'!$J$2:$J990, "*"&amp;A2&amp;"*",
    'Final set of papers'!$G$2:$G990, "*"&amp;Table2[[#HEADERS],[6- Maintability &amp; Documentation]]&amp;"*"
)</f>
        <v>10</v>
      </c>
      <c r="H2" s="117">
        <f>COUNTIFS(
    'Final set of papers'!$J$2:$J990, "*"&amp;A2&amp;"*",
    'Final set of papers'!$G$2:$G990, "*"&amp;Table2[[#HEADERS],[7- Data &amp; Variable management]]&amp;"*"
)</f>
        <v>8</v>
      </c>
      <c r="I2" s="117">
        <f>COUNTIFS(
    'Final set of papers'!$J$2:$J990, "*"&amp;A2&amp;"*",
    'Final set of papers'!$G$2:$G990, "*"&amp;Table2[[#HEADERS],[8- Control Flow &amp; Logic]]&amp;"*"
)</f>
        <v>6</v>
      </c>
      <c r="J2" s="117">
        <f>COUNTIFS(
    'Final set of papers'!$J$2:$J990, "*"&amp;A2&amp;"*",
    'Final set of papers'!$G$2:$G990, "*"&amp;Table2[[#HEADERS],[9- Domain Specific Issues]]&amp;"*"
)</f>
        <v>4</v>
      </c>
    </row>
    <row r="3" ht="22.5" customHeight="1">
      <c r="A3" s="118" t="s">
        <v>109</v>
      </c>
      <c r="B3" s="117">
        <f>COUNTIFS(
    'Final set of papers'!$J$2:$J990, "*"&amp;A3&amp;"*",
    'Final set of papers'!$G$2:$G990, "*"&amp;Table2[[#HEADERS],[1- Structural Quality]]&amp;"*"
)</f>
        <v>4</v>
      </c>
      <c r="C3" s="117">
        <f>COUNTIFS(
    'Final set of papers'!$J$2:$J990, "*"&amp;A3&amp;"*",
    'Final set of papers'!$G$2:$G990, "*"&amp;Table2[[#HEADERS],[2- Syntactic &amp; Linguistic Quality]]&amp;"*"
)</f>
        <v>2</v>
      </c>
      <c r="D3" s="117">
        <f>COUNTIFS(
    'Final set of papers'!$J$2:$J990, "*"&amp;A3&amp;"*",
    'Final set of papers'!$G$2:$G990, "*"&amp;Table2[[#HEADERS],[3- Security]]&amp;"*"
)</f>
        <v>6</v>
      </c>
      <c r="E3" s="117">
        <f>COUNTIFS(
    'Final set of papers'!$J$2:$J990, "*"&amp;A3&amp;"*",
    'Final set of papers'!$G$2:$G990, "*"&amp;Table2[[#HEADERS],[4- Operational Quality]]&amp;"*"
)</f>
        <v>8</v>
      </c>
      <c r="F3" s="117">
        <f>COUNTIFS(
    'Final set of papers'!$J$2:$J990, "*"&amp;A3&amp;"*",
    'Final set of papers'!$G$2:$G990, "*"&amp;Table2[[#HEADERS],[5- Performance &amp; Resource management]]&amp;"*"
)</f>
        <v>3</v>
      </c>
      <c r="G3" s="117">
        <f>COUNTIFS(
    'Final set of papers'!$J$2:$J990, "*"&amp;A3&amp;"*",
    'Final set of papers'!$G$2:$G990, "*"&amp;Table2[[#HEADERS],[6- Maintability &amp; Documentation]]&amp;"*"
)</f>
        <v>2</v>
      </c>
      <c r="H3" s="117">
        <f>COUNTIFS(
    'Final set of papers'!$J$2:$J990, "*"&amp;A3&amp;"*",
    'Final set of papers'!$G$2:$G990, "*"&amp;Table2[[#HEADERS],[7- Data &amp; Variable management]]&amp;"*"
)</f>
        <v>2</v>
      </c>
      <c r="I3" s="117">
        <f>COUNTIFS(
    'Final set of papers'!$J$2:$J990, "*"&amp;A3&amp;"*",
    'Final set of papers'!$G$2:$G990, "*"&amp;Table2[[#HEADERS],[8- Control Flow &amp; Logic]]&amp;"*"
)</f>
        <v>1</v>
      </c>
      <c r="J3" s="117">
        <f>COUNTIFS(
    'Final set of papers'!$J$2:$J990, "*"&amp;A3&amp;"*",
    'Final set of papers'!$G$2:$G990, "*"&amp;Table2[[#HEADERS],[9- Domain Specific Issues]]&amp;"*"
)</f>
        <v>2</v>
      </c>
    </row>
    <row r="4" ht="22.5" customHeight="1">
      <c r="A4" s="118" t="s">
        <v>194</v>
      </c>
      <c r="B4" s="117">
        <f>COUNTIFS(
    'Final set of papers'!$J$2:$J990, "*"&amp;A4&amp;"*",
    'Final set of papers'!$G$2:$G990, "*"&amp;Table2[[#HEADERS],[1- Structural Quality]]&amp;"*"
)</f>
        <v>2</v>
      </c>
      <c r="C4" s="117">
        <f>COUNTIFS(
    'Final set of papers'!$J$2:$J990, "*"&amp;A4&amp;"*",
    'Final set of papers'!$G$2:$G990, "*"&amp;Table2[[#HEADERS],[2- Syntactic &amp; Linguistic Quality]]&amp;"*"
)</f>
        <v>0</v>
      </c>
      <c r="D4" s="117">
        <f>COUNTIFS(
    'Final set of papers'!$J$2:$J990, "*"&amp;A4&amp;"*",
    'Final set of papers'!$G$2:$G990, "*"&amp;Table2[[#HEADERS],[3- Security]]&amp;"*"
)</f>
        <v>6</v>
      </c>
      <c r="E4" s="117">
        <f>COUNTIFS(
    'Final set of papers'!$J$2:$J990, "*"&amp;A4&amp;"*",
    'Final set of papers'!$G$2:$G990, "*"&amp;Table2[[#HEADERS],[4- Operational Quality]]&amp;"*"
)</f>
        <v>2</v>
      </c>
      <c r="F4" s="117">
        <f>COUNTIFS(
    'Final set of papers'!$J$2:$J990, "*"&amp;A4&amp;"*",
    'Final set of papers'!$G$2:$G990, "*"&amp;Table2[[#HEADERS],[5- Performance &amp; Resource management]]&amp;"*"
)</f>
        <v>2</v>
      </c>
      <c r="G4" s="117">
        <f>COUNTIFS(
    'Final set of papers'!$J$2:$J990, "*"&amp;A4&amp;"*",
    'Final set of papers'!$G$2:$G990, "*"&amp;Table2[[#HEADERS],[6- Maintability &amp; Documentation]]&amp;"*"
)</f>
        <v>1</v>
      </c>
      <c r="H4" s="117">
        <f>COUNTIFS(
    'Final set of papers'!$J$2:$J990, "*"&amp;A4&amp;"*",
    'Final set of papers'!$G$2:$G990, "*"&amp;Table2[[#HEADERS],[7- Data &amp; Variable management]]&amp;"*"
)</f>
        <v>0</v>
      </c>
      <c r="I4" s="117">
        <f>COUNTIFS(
    'Final set of papers'!$J$2:$J990, "*"&amp;A4&amp;"*",
    'Final set of papers'!$G$2:$G990, "*"&amp;Table2[[#HEADERS],[8- Control Flow &amp; Logic]]&amp;"*"
)</f>
        <v>0</v>
      </c>
      <c r="J4" s="117">
        <f>COUNTIFS(
    'Final set of papers'!$J$2:$J990, "*"&amp;A4&amp;"*",
    'Final set of papers'!$G$2:$G990, "*"&amp;Table2[[#HEADERS],[9- Domain Specific Issues]]&amp;"*"
)</f>
        <v>2</v>
      </c>
    </row>
    <row r="5" ht="22.5" customHeight="1">
      <c r="A5" s="118" t="s">
        <v>331</v>
      </c>
      <c r="B5" s="117">
        <f>COUNTIFS(
    'Final set of papers'!$J$2:$J990, "*"&amp;A5&amp;"*",
    'Final set of papers'!$G$2:$G990, "*"&amp;Table2[[#HEADERS],[1- Structural Quality]]&amp;"*"
)</f>
        <v>2</v>
      </c>
      <c r="C5" s="117">
        <f>COUNTIFS(
    'Final set of papers'!$J$2:$J990, "*"&amp;A5&amp;"*",
    'Final set of papers'!$G$2:$G990, "*"&amp;Table2[[#HEADERS],[2- Syntactic &amp; Linguistic Quality]]&amp;"*"
)</f>
        <v>3</v>
      </c>
      <c r="D5" s="117">
        <f>COUNTIFS(
    'Final set of papers'!$J$2:$J990, "*"&amp;A5&amp;"*",
    'Final set of papers'!$G$2:$G990, "*"&amp;Table2[[#HEADERS],[3- Security]]&amp;"*"
)</f>
        <v>3</v>
      </c>
      <c r="E5" s="117">
        <f>COUNTIFS(
    'Final set of papers'!$J$2:$J990, "*"&amp;A5&amp;"*",
    'Final set of papers'!$G$2:$G990, "*"&amp;Table2[[#HEADERS],[4- Operational Quality]]&amp;"*"
)</f>
        <v>3</v>
      </c>
      <c r="F5" s="117">
        <f>COUNTIFS(
    'Final set of papers'!$J$2:$J990, "*"&amp;A5&amp;"*",
    'Final set of papers'!$G$2:$G990, "*"&amp;Table2[[#HEADERS],[5- Performance &amp; Resource management]]&amp;"*"
)</f>
        <v>3</v>
      </c>
      <c r="G5" s="117">
        <f>COUNTIFS(
    'Final set of papers'!$J$2:$J990, "*"&amp;A5&amp;"*",
    'Final set of papers'!$G$2:$G990, "*"&amp;Table2[[#HEADERS],[6- Maintability &amp; Documentation]]&amp;"*"
)</f>
        <v>2</v>
      </c>
      <c r="H5" s="117">
        <f>COUNTIFS(
    'Final set of papers'!$J$2:$J990, "*"&amp;A5&amp;"*",
    'Final set of papers'!$G$2:$G990, "*"&amp;Table2[[#HEADERS],[7- Data &amp; Variable management]]&amp;"*"
)</f>
        <v>2</v>
      </c>
      <c r="I5" s="117">
        <f>COUNTIFS(
    'Final set of papers'!$J$2:$J990, "*"&amp;A5&amp;"*",
    'Final set of papers'!$G$2:$G990, "*"&amp;Table2[[#HEADERS],[8- Control Flow &amp; Logic]]&amp;"*"
)</f>
        <v>1</v>
      </c>
      <c r="J5" s="117">
        <f>COUNTIFS(
    'Final set of papers'!$J$2:$J990, "*"&amp;A5&amp;"*",
    'Final set of papers'!$G$2:$G990, "*"&amp;Table2[[#HEADERS],[9- Domain Specific Issues]]&amp;"*"
)</f>
        <v>1</v>
      </c>
      <c r="K5" s="119"/>
    </row>
    <row r="6">
      <c r="K6" s="119"/>
    </row>
    <row r="7">
      <c r="K7" s="119"/>
    </row>
    <row r="8">
      <c r="K8" s="119"/>
    </row>
    <row r="9">
      <c r="K9" s="119"/>
    </row>
    <row r="10">
      <c r="K10" s="119"/>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7.5"/>
    <col customWidth="1" min="3" max="4" width="14.88"/>
    <col customWidth="1" min="5" max="5" width="17.63"/>
    <col customWidth="1" min="6" max="6" width="13.88"/>
  </cols>
  <sheetData>
    <row r="1" ht="22.5" customHeight="1">
      <c r="A1" s="115" t="s">
        <v>16</v>
      </c>
      <c r="B1" s="115" t="s">
        <v>31</v>
      </c>
      <c r="C1" s="115" t="s">
        <v>74</v>
      </c>
      <c r="D1" s="115" t="s">
        <v>163</v>
      </c>
      <c r="E1" s="115" t="s">
        <v>57</v>
      </c>
      <c r="F1" s="115" t="s">
        <v>433</v>
      </c>
      <c r="G1" s="115" t="s">
        <v>195</v>
      </c>
    </row>
    <row r="2" ht="22.5" customHeight="1">
      <c r="A2" s="117" t="str">
        <f>IFERROR(__xludf.DUMMYFUNCTION("SORT(UNIQUE(ARRAYFORMULA(TRIM(FLATTEN(SPLIT(TEXTJOIN("","", TRUE, 'Final set of papers'!Q2:Q1000), "",""))))))"),"2015")</f>
        <v>2015</v>
      </c>
      <c r="B2" s="117">
        <f>COUNTIFS(
    'Final set of papers'!$Q$2:$Q1000, A2,
    'Final set of papers'!$L$2:$L1000, "*"&amp;Table3[[#HEADERS],[1 - Rule-Based and Pattern-Matching Approaches]]&amp;"*"
)</f>
        <v>1</v>
      </c>
      <c r="C2" s="117">
        <f>COUNTIFS(
    'Final set of papers'!$Q$2:$Q1000, A2,
    'Final set of papers'!$L$2:$L1000, "*"&amp;Table3[[#HEADERS],[2 - Graph-Based Analyses]]&amp;"*"
)</f>
        <v>0</v>
      </c>
      <c r="D2" s="117">
        <f>COUNTIFS(
    'Final set of papers'!$Q$2:$Q1000, A2,
    'Final set of papers'!$L$2:$L1000, "*"&amp;Table3[[#HEADERS],[3 - Formal Methods]]&amp;"*"
)</f>
        <v>0</v>
      </c>
      <c r="E2" s="117">
        <f>COUNTIFS(
    'Final set of papers'!$Q$2:$Q1000, A2,
    'Final set of papers'!$L$2:$L1000, "*"&amp;Table3[[#HEADERS],[4 - Statistical and Learning-Based Methods]]&amp;"*"
)</f>
        <v>1</v>
      </c>
      <c r="F2" s="117">
        <f>COUNTIFS(
    'Final set of papers'!$Q$2:$Q1000, A2,
    'Final set of papers'!$L$2:$L1000, "*"&amp;Table3[[#HEADERS],[5 - Testing Methods]]&amp;"*"
)</f>
        <v>0</v>
      </c>
      <c r="G2" s="117">
        <f>COUNTIFS(
    'Final set of papers'!$Q$2:$Q1000, A2,
    'Final set of papers'!$L$2:$L1000, "*"&amp;Table3[[#HEADERS],[6 - Other]]&amp;"*"
)</f>
        <v>0</v>
      </c>
    </row>
    <row r="3" ht="22.5" customHeight="1">
      <c r="A3" s="117" t="str">
        <f>IFERROR(__xludf.DUMMYFUNCTION("""COMPUTED_VALUE"""),"2016")</f>
        <v>2016</v>
      </c>
      <c r="B3" s="117">
        <f>COUNTIFS(
    'Final set of papers'!$Q$2:$Q1000, A3,
    'Final set of papers'!$L$2:$L1000, "*"&amp;Table3[[#HEADERS],[1 - Rule-Based and Pattern-Matching Approaches]]&amp;"*"
)</f>
        <v>1</v>
      </c>
      <c r="C3" s="117">
        <f>COUNTIFS(
    'Final set of papers'!$Q$2:$Q1000, A3,
    'Final set of papers'!$L$2:$L1000, "*"&amp;Table3[[#HEADERS],[2 - Graph-Based Analyses]]&amp;"*"
)</f>
        <v>1</v>
      </c>
      <c r="D3" s="117">
        <f>COUNTIFS(
    'Final set of papers'!$Q$2:$Q1000, A3,
    'Final set of papers'!$L$2:$L1000, "*"&amp;Table3[[#HEADERS],[3 - Formal Methods]]&amp;"*"
)</f>
        <v>1</v>
      </c>
      <c r="E3" s="117">
        <f>COUNTIFS(
    'Final set of papers'!$Q$2:$Q1000, A3,
    'Final set of papers'!$L$2:$L1000, "*"&amp;Table3[[#HEADERS],[4 - Statistical and Learning-Based Methods]]&amp;"*"
)</f>
        <v>0</v>
      </c>
      <c r="F3" s="117">
        <f>COUNTIFS(
    'Final set of papers'!$Q$2:$Q1000, A3,
    'Final set of papers'!$L$2:$L1000, "*"&amp;Table3[[#HEADERS],[5 - Testing Methods]]&amp;"*"
)</f>
        <v>0</v>
      </c>
      <c r="G3" s="117">
        <f>COUNTIFS(
    'Final set of papers'!$Q$2:$Q1000, A3,
    'Final set of papers'!$L$2:$L1000, "*"&amp;Table3[[#HEADERS],[6 - Other]]&amp;"*"
)</f>
        <v>0</v>
      </c>
    </row>
    <row r="4" ht="22.5" customHeight="1">
      <c r="A4" s="117" t="str">
        <f>IFERROR(__xludf.DUMMYFUNCTION("""COMPUTED_VALUE"""),"2017")</f>
        <v>2017</v>
      </c>
      <c r="B4" s="117">
        <f>COUNTIFS(
    'Final set of papers'!$Q$2:$Q1000, A4,
    'Final set of papers'!$L$2:$L1000, "*"&amp;Table3[[#HEADERS],[1 - Rule-Based and Pattern-Matching Approaches]]&amp;"*"
)</f>
        <v>0</v>
      </c>
      <c r="C4" s="117">
        <f>COUNTIFS(
    'Final set of papers'!$Q$2:$Q1000, A4,
    'Final set of papers'!$L$2:$L1000, "*"&amp;Table3[[#HEADERS],[2 - Graph-Based Analyses]]&amp;"*"
)</f>
        <v>0</v>
      </c>
      <c r="D4" s="117">
        <f>COUNTIFS(
    'Final set of papers'!$Q$2:$Q1000, A4,
    'Final set of papers'!$L$2:$L1000, "*"&amp;Table3[[#HEADERS],[3 - Formal Methods]]&amp;"*"
)</f>
        <v>1</v>
      </c>
      <c r="E4" s="117">
        <f>COUNTIFS(
    'Final set of papers'!$Q$2:$Q1000, A4,
    'Final set of papers'!$L$2:$L1000, "*"&amp;Table3[[#HEADERS],[4 - Statistical and Learning-Based Methods]]&amp;"*"
)</f>
        <v>0</v>
      </c>
      <c r="F4" s="117">
        <f>COUNTIFS(
    'Final set of papers'!$Q$2:$Q1000, A4,
    'Final set of papers'!$L$2:$L1000, "*"&amp;Table3[[#HEADERS],[5 - Testing Methods]]&amp;"*"
)</f>
        <v>0</v>
      </c>
      <c r="G4" s="117">
        <f>COUNTIFS(
    'Final set of papers'!$Q$2:$Q1000, A4,
    'Final set of papers'!$L$2:$L1000, "*"&amp;Table3[[#HEADERS],[6 - Other]]&amp;"*"
)</f>
        <v>0</v>
      </c>
    </row>
    <row r="5" ht="22.5" customHeight="1">
      <c r="A5" s="117" t="str">
        <f>IFERROR(__xludf.DUMMYFUNCTION("""COMPUTED_VALUE"""),"2018")</f>
        <v>2018</v>
      </c>
      <c r="B5" s="117">
        <f>COUNTIFS(
    'Final set of papers'!$Q$2:$Q1000, A5,
    'Final set of papers'!$L$2:$L1000, "*"&amp;Table3[[#HEADERS],[1 - Rule-Based and Pattern-Matching Approaches]]&amp;"*"
)</f>
        <v>2</v>
      </c>
      <c r="C5" s="117">
        <f>COUNTIFS(
    'Final set of papers'!$Q$2:$Q1000, A5,
    'Final set of papers'!$L$2:$L1000, "*"&amp;Table3[[#HEADERS],[2 - Graph-Based Analyses]]&amp;"*"
)</f>
        <v>2</v>
      </c>
      <c r="D5" s="117">
        <f>COUNTIFS(
    'Final set of papers'!$Q$2:$Q1000, A5,
    'Final set of papers'!$L$2:$L1000, "*"&amp;Table3[[#HEADERS],[3 - Formal Methods]]&amp;"*"
)</f>
        <v>0</v>
      </c>
      <c r="E5" s="117">
        <f>COUNTIFS(
    'Final set of papers'!$Q$2:$Q1000, A5,
    'Final set of papers'!$L$2:$L1000, "*"&amp;Table3[[#HEADERS],[4 - Statistical and Learning-Based Methods]]&amp;"*"
)</f>
        <v>1</v>
      </c>
      <c r="F5" s="117">
        <f>COUNTIFS(
    'Final set of papers'!$Q$2:$Q1000, A5,
    'Final set of papers'!$L$2:$L1000, "*"&amp;Table3[[#HEADERS],[5 - Testing Methods]]&amp;"*"
)</f>
        <v>0</v>
      </c>
      <c r="G5" s="117">
        <f>COUNTIFS(
    'Final set of papers'!$Q$2:$Q1000, A5,
    'Final set of papers'!$L$2:$L1000, "*"&amp;Table3[[#HEADERS],[6 - Other]]&amp;"*"
)</f>
        <v>0</v>
      </c>
    </row>
    <row r="6" ht="22.5" customHeight="1">
      <c r="A6" s="117" t="str">
        <f>IFERROR(__xludf.DUMMYFUNCTION("""COMPUTED_VALUE"""),"2019")</f>
        <v>2019</v>
      </c>
      <c r="B6" s="117">
        <f>COUNTIFS(
    'Final set of papers'!$Q$2:$Q1000, A6,
    'Final set of papers'!$L$2:$L1000, "*"&amp;Table3[[#HEADERS],[1 - Rule-Based and Pattern-Matching Approaches]]&amp;"*"
)</f>
        <v>1</v>
      </c>
      <c r="C6" s="117">
        <f>COUNTIFS(
    'Final set of papers'!$Q$2:$Q1000, A6,
    'Final set of papers'!$L$2:$L1000, "*"&amp;Table3[[#HEADERS],[2 - Graph-Based Analyses]]&amp;"*"
)</f>
        <v>0</v>
      </c>
      <c r="D6" s="117">
        <f>COUNTIFS(
    'Final set of papers'!$Q$2:$Q1000, A6,
    'Final set of papers'!$L$2:$L1000, "*"&amp;Table3[[#HEADERS],[3 - Formal Methods]]&amp;"*"
)</f>
        <v>0</v>
      </c>
      <c r="E6" s="117">
        <f>COUNTIFS(
    'Final set of papers'!$Q$2:$Q1000, A6,
    'Final set of papers'!$L$2:$L1000, "*"&amp;Table3[[#HEADERS],[4 - Statistical and Learning-Based Methods]]&amp;"*"
)</f>
        <v>2</v>
      </c>
      <c r="F6" s="117">
        <f>COUNTIFS(
    'Final set of papers'!$Q$2:$Q1000, A6,
    'Final set of papers'!$L$2:$L1000, "*"&amp;Table3[[#HEADERS],[5 - Testing Methods]]&amp;"*"
)</f>
        <v>0</v>
      </c>
      <c r="G6" s="117">
        <f>COUNTIFS(
    'Final set of papers'!$Q$2:$Q1000, A6,
    'Final set of papers'!$L$2:$L1000, "*"&amp;Table3[[#HEADERS],[6 - Other]]&amp;"*"
)</f>
        <v>0</v>
      </c>
    </row>
    <row r="7" ht="22.5" customHeight="1">
      <c r="A7" s="117" t="str">
        <f>IFERROR(__xludf.DUMMYFUNCTION("""COMPUTED_VALUE"""),"2020")</f>
        <v>2020</v>
      </c>
      <c r="B7" s="117">
        <f>COUNTIFS(
    'Final set of papers'!$Q$2:$Q1000, A7,
    'Final set of papers'!$L$2:$L1000, "*"&amp;Table3[[#HEADERS],[1 - Rule-Based and Pattern-Matching Approaches]]&amp;"*"
)</f>
        <v>1</v>
      </c>
      <c r="C7" s="117">
        <f>COUNTIFS(
    'Final set of papers'!$Q$2:$Q1000, A7,
    'Final set of papers'!$L$2:$L1000, "*"&amp;Table3[[#HEADERS],[2 - Graph-Based Analyses]]&amp;"*"
)</f>
        <v>0</v>
      </c>
      <c r="D7" s="117">
        <f>COUNTIFS(
    'Final set of papers'!$Q$2:$Q1000, A7,
    'Final set of papers'!$L$2:$L1000, "*"&amp;Table3[[#HEADERS],[3 - Formal Methods]]&amp;"*"
)</f>
        <v>0</v>
      </c>
      <c r="E7" s="117">
        <f>COUNTIFS(
    'Final set of papers'!$Q$2:$Q1000, A7,
    'Final set of papers'!$L$2:$L1000, "*"&amp;Table3[[#HEADERS],[4 - Statistical and Learning-Based Methods]]&amp;"*"
)</f>
        <v>1</v>
      </c>
      <c r="F7" s="117">
        <f>COUNTIFS(
    'Final set of papers'!$Q$2:$Q1000, A7,
    'Final set of papers'!$L$2:$L1000, "*"&amp;Table3[[#HEADERS],[5 - Testing Methods]]&amp;"*"
)</f>
        <v>0</v>
      </c>
      <c r="G7" s="117">
        <f>COUNTIFS(
    'Final set of papers'!$Q$2:$Q1000, A7,
    'Final set of papers'!$L$2:$L1000, "*"&amp;Table3[[#HEADERS],[6 - Other]]&amp;"*"
)</f>
        <v>2</v>
      </c>
    </row>
    <row r="8" ht="22.5" customHeight="1">
      <c r="A8" s="117" t="str">
        <f>IFERROR(__xludf.DUMMYFUNCTION("""COMPUTED_VALUE"""),"2021")</f>
        <v>2021</v>
      </c>
      <c r="B8" s="117">
        <f>COUNTIFS(
    'Final set of papers'!$Q$2:$Q1000, A8,
    'Final set of papers'!$L$2:$L1000, "*"&amp;Table3[[#HEADERS],[1 - Rule-Based and Pattern-Matching Approaches]]&amp;"*"
)</f>
        <v>1</v>
      </c>
      <c r="C8" s="117">
        <f>COUNTIFS(
    'Final set of papers'!$Q$2:$Q1000, A8,
    'Final set of papers'!$L$2:$L1000, "*"&amp;Table3[[#HEADERS],[2 - Graph-Based Analyses]]&amp;"*"
)</f>
        <v>0</v>
      </c>
      <c r="D8" s="117">
        <f>COUNTIFS(
    'Final set of papers'!$Q$2:$Q1000, A8,
    'Final set of papers'!$L$2:$L1000, "*"&amp;Table3[[#HEADERS],[3 - Formal Methods]]&amp;"*"
)</f>
        <v>0</v>
      </c>
      <c r="E8" s="117">
        <f>COUNTIFS(
    'Final set of papers'!$Q$2:$Q1000, A8,
    'Final set of papers'!$L$2:$L1000, "*"&amp;Table3[[#HEADERS],[4 - Statistical and Learning-Based Methods]]&amp;"*"
)</f>
        <v>0</v>
      </c>
      <c r="F8" s="117">
        <f>COUNTIFS(
    'Final set of papers'!$Q$2:$Q1000, A8,
    'Final set of papers'!$L$2:$L1000, "*"&amp;Table3[[#HEADERS],[5 - Testing Methods]]&amp;"*"
)</f>
        <v>0</v>
      </c>
      <c r="G8" s="117">
        <f>COUNTIFS(
    'Final set of papers'!$Q$2:$Q1000, A8,
    'Final set of papers'!$L$2:$L1000, "*"&amp;Table3[[#HEADERS],[6 - Other]]&amp;"*"
)</f>
        <v>0</v>
      </c>
    </row>
    <row r="9" ht="22.5" customHeight="1">
      <c r="A9" s="117" t="str">
        <f>IFERROR(__xludf.DUMMYFUNCTION("""COMPUTED_VALUE"""),"2022")</f>
        <v>2022</v>
      </c>
      <c r="B9" s="117">
        <f>COUNTIFS(
    'Final set of papers'!$Q$2:$Q1000, A9,
    'Final set of papers'!$L$2:$L1000, "*"&amp;Table3[[#HEADERS],[1 - Rule-Based and Pattern-Matching Approaches]]&amp;"*"
)</f>
        <v>1</v>
      </c>
      <c r="C9" s="117">
        <f>COUNTIFS(
    'Final set of papers'!$Q$2:$Q1000, A9,
    'Final set of papers'!$L$2:$L1000, "*"&amp;Table3[[#HEADERS],[2 - Graph-Based Analyses]]&amp;"*"
)</f>
        <v>2</v>
      </c>
      <c r="D9" s="117">
        <f>COUNTIFS(
    'Final set of papers'!$Q$2:$Q1000, A9,
    'Final set of papers'!$L$2:$L1000, "*"&amp;Table3[[#HEADERS],[3 - Formal Methods]]&amp;"*"
)</f>
        <v>0</v>
      </c>
      <c r="E9" s="117">
        <f>COUNTIFS(
    'Final set of papers'!$Q$2:$Q1000, A9,
    'Final set of papers'!$L$2:$L1000, "*"&amp;Table3[[#HEADERS],[4 - Statistical and Learning-Based Methods]]&amp;"*"
)</f>
        <v>2</v>
      </c>
      <c r="F9" s="117">
        <f>COUNTIFS(
    'Final set of papers'!$Q$2:$Q1000, A9,
    'Final set of papers'!$L$2:$L1000, "*"&amp;Table3[[#HEADERS],[5 - Testing Methods]]&amp;"*"
)</f>
        <v>0</v>
      </c>
      <c r="G9" s="117">
        <f>COUNTIFS(
    'Final set of papers'!$Q$2:$Q1000, A9,
    'Final set of papers'!$L$2:$L1000, "*"&amp;Table3[[#HEADERS],[6 - Other]]&amp;"*"
)</f>
        <v>0</v>
      </c>
    </row>
    <row r="10" ht="22.5" customHeight="1">
      <c r="A10" s="117" t="str">
        <f>IFERROR(__xludf.DUMMYFUNCTION("""COMPUTED_VALUE"""),"2023")</f>
        <v>2023</v>
      </c>
      <c r="B10" s="117">
        <f>COUNTIFS(
    'Final set of papers'!$Q$2:$Q1000, A10,
    'Final set of papers'!$L$2:$L1000, "*"&amp;Table3[[#HEADERS],[1 - Rule-Based and Pattern-Matching Approaches]]&amp;"*"
)</f>
        <v>9</v>
      </c>
      <c r="C10" s="117">
        <f>COUNTIFS(
    'Final set of papers'!$Q$2:$Q1000, A10,
    'Final set of papers'!$L$2:$L1000, "*"&amp;Table3[[#HEADERS],[2 - Graph-Based Analyses]]&amp;"*"
)</f>
        <v>9</v>
      </c>
      <c r="D10" s="117">
        <f>COUNTIFS(
    'Final set of papers'!$Q$2:$Q1000, A10,
    'Final set of papers'!$L$2:$L1000, "*"&amp;Table3[[#HEADERS],[3 - Formal Methods]]&amp;"*"
)</f>
        <v>0</v>
      </c>
      <c r="E10" s="117">
        <f>COUNTIFS(
    'Final set of papers'!$Q$2:$Q1000, A10,
    'Final set of papers'!$L$2:$L1000, "*"&amp;Table3[[#HEADERS],[4 - Statistical and Learning-Based Methods]]&amp;"*"
)</f>
        <v>4</v>
      </c>
      <c r="F10" s="117">
        <f>COUNTIFS(
    'Final set of papers'!$Q$2:$Q1000, A10,
    'Final set of papers'!$L$2:$L1000, "*"&amp;Table3[[#HEADERS],[5 - Testing Methods]]&amp;"*"
)</f>
        <v>0</v>
      </c>
      <c r="G10" s="117">
        <f>COUNTIFS(
    'Final set of papers'!$Q$2:$Q1000, A10,
    'Final set of papers'!$L$2:$L1000, "*"&amp;Table3[[#HEADERS],[6 - Other]]&amp;"*"
)</f>
        <v>0</v>
      </c>
    </row>
    <row r="11" ht="22.5" customHeight="1">
      <c r="A11" s="117" t="str">
        <f>IFERROR(__xludf.DUMMYFUNCTION("""COMPUTED_VALUE"""),"2024")</f>
        <v>2024</v>
      </c>
      <c r="B11" s="117">
        <f>COUNTIFS(
    'Final set of papers'!$Q$2:$Q1000, A11,
    'Final set of papers'!$L$2:$L1000, "*"&amp;Table3[[#HEADERS],[1 - Rule-Based and Pattern-Matching Approaches]]&amp;"*"
)</f>
        <v>3</v>
      </c>
      <c r="C11" s="117">
        <f>COUNTIFS(
    'Final set of papers'!$Q$2:$Q1000, A11,
    'Final set of papers'!$L$2:$L1000, "*"&amp;Table3[[#HEADERS],[2 - Graph-Based Analyses]]&amp;"*"
)</f>
        <v>4</v>
      </c>
      <c r="D11" s="117">
        <f>COUNTIFS(
    'Final set of papers'!$Q$2:$Q1000, A11,
    'Final set of papers'!$L$2:$L1000, "*"&amp;Table3[[#HEADERS],[3 - Formal Methods]]&amp;"*"
)</f>
        <v>1</v>
      </c>
      <c r="E11" s="117">
        <f>COUNTIFS(
    'Final set of papers'!$Q$2:$Q1000, A11,
    'Final set of papers'!$L$2:$L1000, "*"&amp;Table3[[#HEADERS],[4 - Statistical and Learning-Based Methods]]&amp;"*"
)</f>
        <v>5</v>
      </c>
      <c r="F11" s="117">
        <f>COUNTIFS(
    'Final set of papers'!$Q$2:$Q1000, A11,
    'Final set of papers'!$L$2:$L1000, "*"&amp;Table3[[#HEADERS],[5 - Testing Methods]]&amp;"*"
)</f>
        <v>0</v>
      </c>
      <c r="G11" s="117">
        <f>COUNTIFS(
    'Final set of papers'!$Q$2:$Q1000, A11,
    'Final set of papers'!$L$2:$L1000, "*"&amp;Table3[[#HEADERS],[6 - Other]]&amp;"*"
)</f>
        <v>4</v>
      </c>
    </row>
    <row r="12" ht="22.5" customHeight="1">
      <c r="A12" s="117" t="str">
        <f>IFERROR(__xludf.DUMMYFUNCTION("""COMPUTED_VALUE"""),"2025")</f>
        <v>2025</v>
      </c>
      <c r="B12" s="117">
        <f>COUNTIFS(
    'Final set of papers'!$Q$2:$Q1000, A12,
    'Final set of papers'!$L$2:$L1000, "*"&amp;Table3[[#HEADERS],[1 - Rule-Based and Pattern-Matching Approaches]]&amp;"*"
)</f>
        <v>3</v>
      </c>
      <c r="C12" s="117">
        <f>COUNTIFS(
    'Final set of papers'!$Q$2:$Q1000, A12,
    'Final set of papers'!$L$2:$L1000, "*"&amp;Table3[[#HEADERS],[2 - Graph-Based Analyses]]&amp;"*"
)</f>
        <v>1</v>
      </c>
      <c r="D12" s="117">
        <f>COUNTIFS(
    'Final set of papers'!$Q$2:$Q1000, A12,
    'Final set of papers'!$L$2:$L1000, "*"&amp;Table3[[#HEADERS],[3 - Formal Methods]]&amp;"*"
)</f>
        <v>2</v>
      </c>
      <c r="E12" s="117">
        <f>COUNTIFS(
    'Final set of papers'!$Q$2:$Q1000, A12,
    'Final set of papers'!$L$2:$L1000, "*"&amp;Table3[[#HEADERS],[4 - Statistical and Learning-Based Methods]]&amp;"*"
)</f>
        <v>3</v>
      </c>
      <c r="F12" s="117">
        <f>COUNTIFS(
    'Final set of papers'!$Q$2:$Q1000, A12,
    'Final set of papers'!$L$2:$L1000, "*"&amp;Table3[[#HEADERS],[5 - Testing Methods]]&amp;"*"
)</f>
        <v>0</v>
      </c>
      <c r="G12" s="117">
        <f>COUNTIFS(
    'Final set of papers'!$Q$2:$Q1000, A12,
    'Final set of papers'!$L$2:$L1000, "*"&amp;Table3[[#HEADERS],[6 - Other]]&amp;"*"
)</f>
        <v>2</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9.88"/>
    <col customWidth="1" min="5" max="5" width="36.25"/>
    <col customWidth="1" min="8" max="8" width="49.75"/>
  </cols>
  <sheetData>
    <row r="1">
      <c r="A1" s="2" t="s">
        <v>438</v>
      </c>
      <c r="B1" s="2" t="s">
        <v>439</v>
      </c>
      <c r="C1" s="2" t="s">
        <v>0</v>
      </c>
      <c r="D1" s="2" t="s">
        <v>440</v>
      </c>
      <c r="E1" s="2" t="s">
        <v>441</v>
      </c>
      <c r="F1" s="2" t="s">
        <v>442</v>
      </c>
      <c r="G1" s="2" t="s">
        <v>443</v>
      </c>
      <c r="H1" s="2" t="s">
        <v>444</v>
      </c>
    </row>
    <row r="2">
      <c r="A2" s="120">
        <v>2023.0</v>
      </c>
      <c r="B2" s="51" t="s">
        <v>445</v>
      </c>
      <c r="C2" s="51" t="s">
        <v>220</v>
      </c>
      <c r="D2" s="35" t="s">
        <v>221</v>
      </c>
      <c r="E2" s="51" t="s">
        <v>446</v>
      </c>
      <c r="F2" s="51" t="s">
        <v>83</v>
      </c>
      <c r="G2" s="51" t="s">
        <v>447</v>
      </c>
      <c r="H2" s="51"/>
    </row>
    <row r="3">
      <c r="A3" s="120">
        <v>2019.0</v>
      </c>
      <c r="B3" s="51" t="s">
        <v>448</v>
      </c>
      <c r="C3" s="51" t="s">
        <v>449</v>
      </c>
      <c r="D3" s="35" t="s">
        <v>450</v>
      </c>
      <c r="E3" s="51" t="s">
        <v>451</v>
      </c>
      <c r="F3" s="51" t="s">
        <v>83</v>
      </c>
      <c r="G3" s="51" t="s">
        <v>452</v>
      </c>
      <c r="H3" s="51"/>
    </row>
    <row r="4">
      <c r="A4" s="120">
        <v>2025.0</v>
      </c>
      <c r="B4" s="51" t="s">
        <v>453</v>
      </c>
      <c r="C4" s="51" t="s">
        <v>227</v>
      </c>
      <c r="D4" s="29" t="s">
        <v>454</v>
      </c>
      <c r="E4" s="51" t="s">
        <v>455</v>
      </c>
      <c r="F4" s="51" t="s">
        <v>83</v>
      </c>
      <c r="G4" s="51"/>
      <c r="H4" s="51"/>
    </row>
    <row r="5">
      <c r="A5" s="120">
        <v>2024.0</v>
      </c>
      <c r="B5" s="51" t="s">
        <v>456</v>
      </c>
      <c r="C5" s="51" t="s">
        <v>457</v>
      </c>
      <c r="D5" s="35" t="s">
        <v>458</v>
      </c>
      <c r="E5" s="51" t="s">
        <v>459</v>
      </c>
      <c r="F5" s="51" t="s">
        <v>83</v>
      </c>
      <c r="G5" s="51"/>
      <c r="H5" s="51"/>
    </row>
    <row r="6">
      <c r="A6" s="120">
        <v>2024.0</v>
      </c>
      <c r="B6" s="51" t="s">
        <v>460</v>
      </c>
      <c r="C6" s="51" t="s">
        <v>233</v>
      </c>
      <c r="D6" s="35" t="s">
        <v>234</v>
      </c>
      <c r="E6" s="51" t="s">
        <v>461</v>
      </c>
      <c r="F6" s="51" t="s">
        <v>83</v>
      </c>
      <c r="G6" s="51" t="s">
        <v>462</v>
      </c>
      <c r="H6" s="51"/>
    </row>
    <row r="7">
      <c r="A7" s="120">
        <v>2023.0</v>
      </c>
      <c r="B7" s="51" t="s">
        <v>463</v>
      </c>
      <c r="C7" s="51" t="s">
        <v>464</v>
      </c>
      <c r="D7" s="29" t="s">
        <v>465</v>
      </c>
      <c r="E7" s="51" t="s">
        <v>466</v>
      </c>
      <c r="F7" s="51" t="s">
        <v>83</v>
      </c>
      <c r="G7" s="51"/>
      <c r="H7" s="51"/>
    </row>
    <row r="8">
      <c r="A8" s="120">
        <v>2023.0</v>
      </c>
      <c r="B8" s="51" t="s">
        <v>467</v>
      </c>
      <c r="C8" s="51" t="s">
        <v>241</v>
      </c>
      <c r="D8" s="35" t="s">
        <v>242</v>
      </c>
      <c r="E8" s="51" t="s">
        <v>468</v>
      </c>
      <c r="F8" s="51" t="s">
        <v>83</v>
      </c>
      <c r="G8" s="51"/>
      <c r="H8" s="51"/>
    </row>
    <row r="9">
      <c r="A9" s="120">
        <v>2024.0</v>
      </c>
      <c r="B9" s="51" t="s">
        <v>469</v>
      </c>
      <c r="C9" s="51" t="s">
        <v>247</v>
      </c>
      <c r="D9" s="35" t="s">
        <v>470</v>
      </c>
      <c r="E9" s="51" t="s">
        <v>471</v>
      </c>
      <c r="F9" s="51" t="s">
        <v>83</v>
      </c>
      <c r="G9" s="51" t="s">
        <v>472</v>
      </c>
      <c r="H9" s="51"/>
    </row>
    <row r="10">
      <c r="A10" s="120">
        <v>2023.0</v>
      </c>
      <c r="B10" s="51" t="s">
        <v>473</v>
      </c>
      <c r="C10" s="51" t="s">
        <v>253</v>
      </c>
      <c r="D10" s="35" t="s">
        <v>254</v>
      </c>
      <c r="E10" s="51" t="s">
        <v>474</v>
      </c>
      <c r="F10" s="51" t="s">
        <v>83</v>
      </c>
      <c r="G10" s="51" t="s">
        <v>475</v>
      </c>
      <c r="H10" s="51"/>
    </row>
    <row r="11">
      <c r="A11" s="120">
        <v>2024.0</v>
      </c>
      <c r="B11" s="51" t="s">
        <v>476</v>
      </c>
      <c r="C11" s="51" t="s">
        <v>256</v>
      </c>
      <c r="D11" s="35" t="s">
        <v>257</v>
      </c>
      <c r="E11" s="51" t="s">
        <v>477</v>
      </c>
      <c r="F11" s="51" t="s">
        <v>35</v>
      </c>
      <c r="G11" s="51"/>
      <c r="H11" s="51"/>
    </row>
    <row r="12">
      <c r="A12" s="120">
        <v>2023.0</v>
      </c>
      <c r="B12" s="51" t="s">
        <v>478</v>
      </c>
      <c r="C12" s="51" t="s">
        <v>259</v>
      </c>
      <c r="D12" s="35" t="s">
        <v>260</v>
      </c>
      <c r="E12" s="51" t="s">
        <v>479</v>
      </c>
      <c r="F12" s="51" t="s">
        <v>35</v>
      </c>
      <c r="G12" s="51" t="s">
        <v>480</v>
      </c>
      <c r="H12" s="51" t="s">
        <v>481</v>
      </c>
    </row>
    <row r="13">
      <c r="A13" s="120">
        <v>2024.0</v>
      </c>
      <c r="B13" s="51" t="s">
        <v>482</v>
      </c>
      <c r="C13" s="51" t="s">
        <v>264</v>
      </c>
      <c r="D13" s="35" t="s">
        <v>265</v>
      </c>
      <c r="E13" s="51" t="s">
        <v>483</v>
      </c>
      <c r="F13" s="51" t="s">
        <v>35</v>
      </c>
      <c r="G13" s="51" t="s">
        <v>484</v>
      </c>
      <c r="H13" s="51" t="s">
        <v>485</v>
      </c>
    </row>
    <row r="14">
      <c r="A14" s="120">
        <v>2022.0</v>
      </c>
      <c r="B14" s="51" t="s">
        <v>486</v>
      </c>
      <c r="C14" s="51" t="s">
        <v>487</v>
      </c>
      <c r="D14" s="35" t="s">
        <v>488</v>
      </c>
      <c r="E14" s="51" t="s">
        <v>489</v>
      </c>
      <c r="F14" s="51" t="s">
        <v>35</v>
      </c>
      <c r="G14" s="51" t="s">
        <v>490</v>
      </c>
      <c r="H14" s="51" t="s">
        <v>491</v>
      </c>
    </row>
    <row r="15">
      <c r="A15" s="51"/>
      <c r="B15" s="51"/>
      <c r="C15" s="51" t="s">
        <v>492</v>
      </c>
      <c r="D15" s="35" t="s">
        <v>493</v>
      </c>
      <c r="E15" s="51" t="s">
        <v>494</v>
      </c>
      <c r="F15" s="51" t="s">
        <v>35</v>
      </c>
      <c r="G15" s="51"/>
      <c r="H15" s="51"/>
    </row>
    <row r="16">
      <c r="A16" s="10">
        <v>2024.0</v>
      </c>
      <c r="B16" s="51"/>
      <c r="C16" s="51" t="s">
        <v>270</v>
      </c>
      <c r="D16" s="35" t="s">
        <v>271</v>
      </c>
      <c r="E16" s="51" t="s">
        <v>495</v>
      </c>
      <c r="F16" s="51" t="s">
        <v>35</v>
      </c>
      <c r="G16" s="51"/>
      <c r="H16" s="51"/>
    </row>
    <row r="17">
      <c r="A17" s="120">
        <v>2023.0</v>
      </c>
      <c r="B17" s="51" t="s">
        <v>496</v>
      </c>
      <c r="C17" s="51" t="s">
        <v>497</v>
      </c>
      <c r="D17" s="35" t="s">
        <v>498</v>
      </c>
      <c r="E17" s="51" t="s">
        <v>499</v>
      </c>
      <c r="F17" s="51" t="s">
        <v>35</v>
      </c>
      <c r="G17" s="51" t="s">
        <v>500</v>
      </c>
      <c r="H17" s="51" t="s">
        <v>501</v>
      </c>
    </row>
    <row r="18">
      <c r="A18" s="120">
        <v>2022.0</v>
      </c>
      <c r="B18" s="51" t="s">
        <v>502</v>
      </c>
      <c r="C18" s="51" t="s">
        <v>275</v>
      </c>
      <c r="D18" s="35" t="s">
        <v>276</v>
      </c>
      <c r="E18" s="51" t="s">
        <v>503</v>
      </c>
      <c r="F18" s="51" t="s">
        <v>35</v>
      </c>
      <c r="G18" s="51" t="s">
        <v>504</v>
      </c>
      <c r="H18" s="51" t="s">
        <v>505</v>
      </c>
    </row>
    <row r="19">
      <c r="A19" s="120">
        <v>2023.0</v>
      </c>
      <c r="B19" s="51" t="s">
        <v>506</v>
      </c>
      <c r="C19" s="51" t="s">
        <v>341</v>
      </c>
      <c r="D19" s="35" t="s">
        <v>342</v>
      </c>
      <c r="E19" s="51" t="s">
        <v>507</v>
      </c>
      <c r="F19" s="51" t="s">
        <v>35</v>
      </c>
      <c r="G19" s="51" t="s">
        <v>508</v>
      </c>
      <c r="H19" s="51" t="s">
        <v>509</v>
      </c>
    </row>
    <row r="20">
      <c r="A20" s="120">
        <v>2020.0</v>
      </c>
      <c r="B20" s="51" t="s">
        <v>510</v>
      </c>
      <c r="C20" s="51" t="s">
        <v>511</v>
      </c>
      <c r="D20" s="35" t="s">
        <v>512</v>
      </c>
      <c r="E20" s="51" t="s">
        <v>513</v>
      </c>
      <c r="F20" s="51" t="s">
        <v>49</v>
      </c>
      <c r="G20" s="51"/>
      <c r="H20" s="51"/>
    </row>
    <row r="21">
      <c r="A21" s="120">
        <v>2022.0</v>
      </c>
      <c r="B21" s="51" t="s">
        <v>514</v>
      </c>
      <c r="C21" s="51" t="s">
        <v>289</v>
      </c>
      <c r="D21" s="35" t="s">
        <v>290</v>
      </c>
      <c r="E21" s="51" t="s">
        <v>515</v>
      </c>
      <c r="F21" s="51" t="s">
        <v>49</v>
      </c>
      <c r="G21" s="51"/>
      <c r="H21" s="51"/>
    </row>
    <row r="22">
      <c r="A22" s="10">
        <v>2024.0</v>
      </c>
      <c r="B22" s="51"/>
      <c r="C22" s="51" t="s">
        <v>293</v>
      </c>
      <c r="D22" s="35" t="s">
        <v>294</v>
      </c>
      <c r="E22" s="51"/>
      <c r="F22" s="51" t="s">
        <v>49</v>
      </c>
      <c r="G22" s="51"/>
      <c r="H22" s="51"/>
    </row>
    <row r="23">
      <c r="A23" s="10">
        <v>2020.0</v>
      </c>
      <c r="B23" s="51"/>
      <c r="C23" s="51" t="s">
        <v>516</v>
      </c>
      <c r="D23" s="35" t="s">
        <v>517</v>
      </c>
      <c r="E23" s="51" t="s">
        <v>518</v>
      </c>
      <c r="F23" s="51" t="s">
        <v>49</v>
      </c>
      <c r="G23" s="51"/>
      <c r="H23" s="51"/>
    </row>
    <row r="24">
      <c r="A24" s="10">
        <v>2023.0</v>
      </c>
      <c r="B24" s="51"/>
      <c r="C24" s="51" t="s">
        <v>297</v>
      </c>
      <c r="D24" s="35" t="s">
        <v>298</v>
      </c>
      <c r="E24" s="51" t="s">
        <v>519</v>
      </c>
      <c r="F24" s="51" t="s">
        <v>49</v>
      </c>
      <c r="G24" s="51"/>
      <c r="H24" s="51"/>
    </row>
    <row r="25">
      <c r="A25" s="120">
        <v>2020.0</v>
      </c>
      <c r="B25" s="51" t="s">
        <v>520</v>
      </c>
      <c r="C25" s="51" t="s">
        <v>302</v>
      </c>
      <c r="D25" s="35" t="s">
        <v>303</v>
      </c>
      <c r="E25" s="51" t="s">
        <v>521</v>
      </c>
      <c r="F25" s="51" t="s">
        <v>49</v>
      </c>
      <c r="G25" s="51" t="s">
        <v>522</v>
      </c>
      <c r="H25" s="51" t="s">
        <v>523</v>
      </c>
    </row>
    <row r="26">
      <c r="A26" s="120">
        <v>2024.0</v>
      </c>
      <c r="B26" s="51" t="s">
        <v>524</v>
      </c>
      <c r="C26" s="51" t="s">
        <v>305</v>
      </c>
      <c r="D26" s="35" t="s">
        <v>306</v>
      </c>
      <c r="E26" s="51" t="s">
        <v>525</v>
      </c>
      <c r="F26" s="51" t="s">
        <v>49</v>
      </c>
      <c r="G26" s="51" t="s">
        <v>526</v>
      </c>
      <c r="H26" s="51"/>
    </row>
    <row r="27">
      <c r="A27" s="120">
        <v>2024.0</v>
      </c>
      <c r="B27" s="51" t="s">
        <v>527</v>
      </c>
      <c r="C27" s="51" t="s">
        <v>310</v>
      </c>
      <c r="D27" s="35" t="s">
        <v>528</v>
      </c>
      <c r="E27" s="51" t="s">
        <v>529</v>
      </c>
      <c r="F27" s="51" t="s">
        <v>49</v>
      </c>
      <c r="G27" s="51" t="s">
        <v>530</v>
      </c>
      <c r="H27" s="51" t="s">
        <v>531</v>
      </c>
    </row>
    <row r="28">
      <c r="A28" s="120">
        <v>2019.0</v>
      </c>
      <c r="B28" s="51" t="s">
        <v>532</v>
      </c>
      <c r="C28" s="51" t="s">
        <v>315</v>
      </c>
      <c r="D28" s="35" t="s">
        <v>316</v>
      </c>
      <c r="E28" s="51" t="s">
        <v>533</v>
      </c>
      <c r="F28" s="51" t="s">
        <v>49</v>
      </c>
      <c r="G28" s="51" t="s">
        <v>534</v>
      </c>
      <c r="H28" s="51" t="s">
        <v>535</v>
      </c>
    </row>
    <row r="29">
      <c r="A29" s="120">
        <v>2017.0</v>
      </c>
      <c r="B29" s="51" t="s">
        <v>536</v>
      </c>
      <c r="C29" s="51" t="s">
        <v>321</v>
      </c>
      <c r="D29" s="35" t="s">
        <v>322</v>
      </c>
      <c r="E29" s="51" t="s">
        <v>537</v>
      </c>
      <c r="F29" s="51" t="s">
        <v>49</v>
      </c>
      <c r="G29" s="51" t="s">
        <v>538</v>
      </c>
      <c r="H29" s="51" t="s">
        <v>539</v>
      </c>
    </row>
    <row r="30">
      <c r="A30" s="120">
        <v>2015.0</v>
      </c>
      <c r="B30" s="51" t="s">
        <v>540</v>
      </c>
      <c r="C30" s="51" t="s">
        <v>541</v>
      </c>
      <c r="D30" s="35" t="s">
        <v>542</v>
      </c>
      <c r="E30" s="51" t="s">
        <v>543</v>
      </c>
      <c r="F30" s="51" t="s">
        <v>49</v>
      </c>
      <c r="G30" s="51"/>
      <c r="H30" s="51"/>
    </row>
    <row r="31">
      <c r="A31" s="120">
        <v>2017.0</v>
      </c>
      <c r="B31" s="51" t="s">
        <v>544</v>
      </c>
      <c r="C31" s="51" t="s">
        <v>545</v>
      </c>
      <c r="D31" s="35" t="s">
        <v>546</v>
      </c>
      <c r="E31" s="51" t="s">
        <v>547</v>
      </c>
      <c r="F31" s="51" t="s">
        <v>49</v>
      </c>
      <c r="G31" s="51"/>
      <c r="H31" s="51"/>
    </row>
    <row r="32">
      <c r="A32" s="120">
        <v>2018.0</v>
      </c>
      <c r="B32" s="51" t="s">
        <v>548</v>
      </c>
      <c r="C32" s="51" t="s">
        <v>549</v>
      </c>
      <c r="D32" s="35" t="s">
        <v>550</v>
      </c>
      <c r="E32" s="51" t="s">
        <v>551</v>
      </c>
      <c r="F32" s="51" t="s">
        <v>49</v>
      </c>
      <c r="G32" s="51"/>
      <c r="H32" s="51"/>
    </row>
    <row r="33">
      <c r="A33" s="120">
        <v>2022.0</v>
      </c>
      <c r="B33" s="51" t="s">
        <v>552</v>
      </c>
      <c r="C33" s="51" t="s">
        <v>326</v>
      </c>
      <c r="D33" s="35" t="s">
        <v>327</v>
      </c>
      <c r="E33" s="51" t="s">
        <v>553</v>
      </c>
      <c r="F33" s="51" t="s">
        <v>197</v>
      </c>
      <c r="G33" s="51" t="s">
        <v>554</v>
      </c>
      <c r="H33" s="51" t="s">
        <v>555</v>
      </c>
    </row>
    <row r="34">
      <c r="A34" s="120">
        <v>2020.0</v>
      </c>
      <c r="B34" s="51" t="s">
        <v>556</v>
      </c>
      <c r="C34" s="51" t="s">
        <v>557</v>
      </c>
      <c r="D34" s="35" t="s">
        <v>558</v>
      </c>
      <c r="E34" s="51" t="s">
        <v>559</v>
      </c>
      <c r="F34" s="51" t="s">
        <v>197</v>
      </c>
      <c r="G34" s="51" t="s">
        <v>560</v>
      </c>
      <c r="H34" s="51" t="s">
        <v>561</v>
      </c>
    </row>
    <row r="35">
      <c r="A35" s="120">
        <v>2018.0</v>
      </c>
      <c r="B35" s="51" t="s">
        <v>562</v>
      </c>
      <c r="C35" s="51" t="s">
        <v>334</v>
      </c>
      <c r="D35" s="35" t="s">
        <v>335</v>
      </c>
      <c r="E35" s="51" t="s">
        <v>563</v>
      </c>
      <c r="F35" s="51" t="s">
        <v>340</v>
      </c>
      <c r="G35" s="51" t="s">
        <v>564</v>
      </c>
      <c r="H35" s="51" t="s">
        <v>565</v>
      </c>
    </row>
    <row r="36">
      <c r="A36" s="120">
        <v>2025.0</v>
      </c>
      <c r="B36" s="51" t="s">
        <v>566</v>
      </c>
      <c r="C36" s="51" t="s">
        <v>567</v>
      </c>
      <c r="D36" s="29" t="s">
        <v>568</v>
      </c>
      <c r="E36" s="51" t="s">
        <v>569</v>
      </c>
      <c r="F36" s="51" t="s">
        <v>340</v>
      </c>
      <c r="G36" s="51"/>
      <c r="H36" s="51"/>
    </row>
    <row r="37">
      <c r="A37" s="120">
        <v>2017.0</v>
      </c>
      <c r="B37" s="51" t="s">
        <v>570</v>
      </c>
      <c r="C37" s="51" t="s">
        <v>571</v>
      </c>
      <c r="D37" s="35" t="s">
        <v>572</v>
      </c>
      <c r="E37" s="51" t="s">
        <v>573</v>
      </c>
      <c r="F37" s="51" t="s">
        <v>340</v>
      </c>
      <c r="G37" s="51" t="s">
        <v>574</v>
      </c>
      <c r="H37" s="51" t="s">
        <v>575</v>
      </c>
    </row>
    <row r="38">
      <c r="A38" s="120">
        <v>2023.0</v>
      </c>
      <c r="B38" s="51" t="s">
        <v>576</v>
      </c>
      <c r="C38" s="51" t="s">
        <v>577</v>
      </c>
      <c r="D38" s="35" t="s">
        <v>578</v>
      </c>
      <c r="E38" s="51" t="s">
        <v>579</v>
      </c>
      <c r="F38" s="51" t="s">
        <v>333</v>
      </c>
      <c r="G38" s="51" t="s">
        <v>580</v>
      </c>
      <c r="H38" s="51" t="s">
        <v>509</v>
      </c>
    </row>
    <row r="39">
      <c r="A39" s="120">
        <v>2023.0</v>
      </c>
      <c r="B39" s="51" t="s">
        <v>581</v>
      </c>
      <c r="C39" s="51" t="s">
        <v>582</v>
      </c>
      <c r="D39" s="35" t="s">
        <v>583</v>
      </c>
      <c r="E39" s="51" t="s">
        <v>584</v>
      </c>
      <c r="F39" s="51" t="s">
        <v>333</v>
      </c>
      <c r="G39" s="51" t="s">
        <v>585</v>
      </c>
      <c r="H39" s="51" t="s">
        <v>509</v>
      </c>
    </row>
    <row r="40">
      <c r="A40" s="120">
        <v>2024.0</v>
      </c>
      <c r="B40" s="51" t="s">
        <v>586</v>
      </c>
      <c r="C40" s="51" t="s">
        <v>587</v>
      </c>
      <c r="D40" s="35" t="s">
        <v>588</v>
      </c>
      <c r="E40" s="51" t="s">
        <v>589</v>
      </c>
      <c r="F40" s="51" t="s">
        <v>590</v>
      </c>
      <c r="G40" s="51"/>
      <c r="H40" s="51"/>
    </row>
    <row r="41">
      <c r="A41" s="51"/>
      <c r="B41" s="51"/>
      <c r="C41" s="51" t="s">
        <v>591</v>
      </c>
      <c r="D41" s="35" t="s">
        <v>592</v>
      </c>
      <c r="E41" s="51" t="s">
        <v>593</v>
      </c>
      <c r="F41" s="51"/>
      <c r="G41" s="51"/>
      <c r="H41" s="51"/>
    </row>
    <row r="42">
      <c r="A42" s="120">
        <v>2023.0</v>
      </c>
      <c r="B42" s="51" t="s">
        <v>594</v>
      </c>
      <c r="C42" s="51" t="s">
        <v>595</v>
      </c>
      <c r="D42" s="35" t="s">
        <v>596</v>
      </c>
      <c r="E42" s="51" t="s">
        <v>597</v>
      </c>
      <c r="F42" s="51"/>
      <c r="G42" s="51" t="s">
        <v>598</v>
      </c>
      <c r="H42" s="51" t="s">
        <v>599</v>
      </c>
    </row>
    <row r="43">
      <c r="A43" s="120">
        <v>2019.0</v>
      </c>
      <c r="B43" s="51" t="s">
        <v>600</v>
      </c>
      <c r="C43" s="51" t="s">
        <v>279</v>
      </c>
      <c r="D43" s="35" t="s">
        <v>280</v>
      </c>
      <c r="E43" s="51" t="s">
        <v>601</v>
      </c>
      <c r="F43" s="51"/>
      <c r="G43" s="51"/>
      <c r="H43" s="51"/>
    </row>
    <row r="44">
      <c r="A44" s="120">
        <v>2023.0</v>
      </c>
      <c r="B44" s="51" t="s">
        <v>602</v>
      </c>
      <c r="C44" s="51" t="s">
        <v>343</v>
      </c>
      <c r="D44" s="35" t="s">
        <v>344</v>
      </c>
      <c r="E44" s="51" t="s">
        <v>603</v>
      </c>
      <c r="F44" s="51"/>
      <c r="G44" s="51" t="s">
        <v>604</v>
      </c>
      <c r="H44" s="51" t="s">
        <v>605</v>
      </c>
    </row>
    <row r="45">
      <c r="A45" s="120">
        <v>2023.0</v>
      </c>
      <c r="B45" s="51" t="s">
        <v>606</v>
      </c>
      <c r="C45" s="51" t="s">
        <v>607</v>
      </c>
      <c r="D45" s="35" t="s">
        <v>608</v>
      </c>
      <c r="E45" s="51" t="s">
        <v>609</v>
      </c>
      <c r="F45" s="51"/>
      <c r="G45" s="51" t="s">
        <v>610</v>
      </c>
      <c r="H45" s="51"/>
    </row>
    <row r="46">
      <c r="A46" s="120">
        <v>2024.0</v>
      </c>
      <c r="B46" s="51" t="s">
        <v>611</v>
      </c>
      <c r="C46" s="51" t="s">
        <v>612</v>
      </c>
      <c r="D46" s="35" t="s">
        <v>613</v>
      </c>
      <c r="E46" s="51" t="s">
        <v>614</v>
      </c>
      <c r="F46" s="51"/>
      <c r="G46" s="51" t="s">
        <v>615</v>
      </c>
      <c r="H46" s="51" t="s">
        <v>616</v>
      </c>
    </row>
    <row r="47">
      <c r="A47" s="120">
        <v>2023.0</v>
      </c>
      <c r="B47" s="51" t="s">
        <v>617</v>
      </c>
      <c r="C47" s="51" t="s">
        <v>346</v>
      </c>
      <c r="D47" s="35" t="s">
        <v>347</v>
      </c>
      <c r="E47" s="51" t="s">
        <v>618</v>
      </c>
      <c r="F47" s="51"/>
      <c r="G47" s="51"/>
      <c r="H47" s="51"/>
    </row>
    <row r="48">
      <c r="A48" s="120">
        <v>2023.0</v>
      </c>
      <c r="B48" s="51" t="s">
        <v>619</v>
      </c>
      <c r="C48" s="51" t="s">
        <v>283</v>
      </c>
      <c r="D48" s="35" t="s">
        <v>284</v>
      </c>
      <c r="E48" s="51" t="s">
        <v>620</v>
      </c>
      <c r="F48" s="51"/>
      <c r="G48" s="51"/>
      <c r="H48" s="51"/>
    </row>
    <row r="49">
      <c r="A49" s="120">
        <v>2024.0</v>
      </c>
      <c r="B49" s="51" t="s">
        <v>621</v>
      </c>
      <c r="C49" s="51" t="s">
        <v>622</v>
      </c>
      <c r="D49" s="35" t="s">
        <v>623</v>
      </c>
      <c r="E49" s="51" t="s">
        <v>624</v>
      </c>
      <c r="F49" s="51"/>
      <c r="G49" s="51" t="s">
        <v>625</v>
      </c>
      <c r="H49" s="51" t="s">
        <v>626</v>
      </c>
    </row>
    <row r="50">
      <c r="A50" s="120">
        <v>2024.0</v>
      </c>
      <c r="B50" s="51" t="s">
        <v>627</v>
      </c>
      <c r="C50" s="51" t="s">
        <v>350</v>
      </c>
      <c r="D50" s="35" t="s">
        <v>351</v>
      </c>
      <c r="E50" s="51" t="s">
        <v>628</v>
      </c>
      <c r="F50" s="51"/>
      <c r="G50" s="51" t="s">
        <v>629</v>
      </c>
      <c r="H50" s="51" t="s">
        <v>630</v>
      </c>
    </row>
    <row r="51">
      <c r="A51" s="120">
        <v>2024.0</v>
      </c>
      <c r="B51" s="51" t="s">
        <v>631</v>
      </c>
      <c r="C51" s="51" t="s">
        <v>632</v>
      </c>
      <c r="D51" s="35" t="s">
        <v>633</v>
      </c>
      <c r="E51" s="51" t="s">
        <v>634</v>
      </c>
      <c r="F51" s="51"/>
      <c r="G51" s="51" t="s">
        <v>635</v>
      </c>
      <c r="H51" s="51" t="s">
        <v>636</v>
      </c>
    </row>
    <row r="52">
      <c r="A52" s="120">
        <v>2024.0</v>
      </c>
      <c r="B52" s="51" t="s">
        <v>637</v>
      </c>
      <c r="C52" s="51" t="s">
        <v>355</v>
      </c>
      <c r="D52" s="35" t="s">
        <v>356</v>
      </c>
      <c r="E52" s="51" t="s">
        <v>638</v>
      </c>
      <c r="F52" s="51"/>
      <c r="G52" s="51" t="s">
        <v>639</v>
      </c>
      <c r="H52" s="51"/>
    </row>
    <row r="53">
      <c r="A53" s="120">
        <v>2023.0</v>
      </c>
      <c r="B53" s="51" t="s">
        <v>640</v>
      </c>
      <c r="C53" s="51" t="s">
        <v>641</v>
      </c>
      <c r="D53" s="35" t="s">
        <v>642</v>
      </c>
      <c r="E53" s="51" t="s">
        <v>643</v>
      </c>
      <c r="F53" s="51"/>
      <c r="G53" s="51" t="s">
        <v>644</v>
      </c>
      <c r="H53" s="51" t="s">
        <v>645</v>
      </c>
    </row>
    <row r="54">
      <c r="A54" s="120">
        <v>2022.0</v>
      </c>
      <c r="B54" s="51" t="s">
        <v>646</v>
      </c>
      <c r="C54" s="51" t="s">
        <v>647</v>
      </c>
      <c r="D54" s="35" t="s">
        <v>648</v>
      </c>
      <c r="E54" s="51" t="s">
        <v>649</v>
      </c>
      <c r="F54" s="51"/>
      <c r="G54" s="51" t="s">
        <v>650</v>
      </c>
      <c r="H54" s="51"/>
    </row>
    <row r="55">
      <c r="A55" s="120">
        <v>2024.0</v>
      </c>
      <c r="B55" s="51" t="s">
        <v>651</v>
      </c>
      <c r="C55" s="51" t="s">
        <v>652</v>
      </c>
      <c r="D55" s="35" t="s">
        <v>653</v>
      </c>
      <c r="E55" s="51" t="s">
        <v>654</v>
      </c>
      <c r="F55" s="51"/>
      <c r="G55" s="51" t="s">
        <v>655</v>
      </c>
      <c r="H55" s="51" t="s">
        <v>656</v>
      </c>
    </row>
    <row r="56">
      <c r="A56" s="120">
        <v>2024.0</v>
      </c>
      <c r="B56" s="51" t="s">
        <v>657</v>
      </c>
      <c r="C56" s="51" t="s">
        <v>658</v>
      </c>
      <c r="D56" s="35" t="s">
        <v>659</v>
      </c>
      <c r="E56" s="51" t="s">
        <v>660</v>
      </c>
      <c r="F56" s="51"/>
      <c r="G56" s="51" t="s">
        <v>661</v>
      </c>
      <c r="H56" s="51" t="s">
        <v>662</v>
      </c>
    </row>
    <row r="57">
      <c r="A57" s="120">
        <v>2023.0</v>
      </c>
      <c r="B57" s="51" t="s">
        <v>663</v>
      </c>
      <c r="C57" s="51" t="s">
        <v>360</v>
      </c>
      <c r="D57" s="35" t="s">
        <v>361</v>
      </c>
      <c r="E57" s="51" t="s">
        <v>664</v>
      </c>
      <c r="F57" s="51"/>
      <c r="G57" s="51" t="s">
        <v>665</v>
      </c>
      <c r="H57" s="51" t="s">
        <v>666</v>
      </c>
    </row>
    <row r="58">
      <c r="A58" s="120">
        <v>2022.0</v>
      </c>
      <c r="B58" s="51" t="s">
        <v>667</v>
      </c>
      <c r="C58" s="51" t="s">
        <v>364</v>
      </c>
      <c r="D58" s="35" t="s">
        <v>365</v>
      </c>
      <c r="E58" s="51" t="s">
        <v>668</v>
      </c>
      <c r="F58" s="51"/>
      <c r="G58" s="51" t="s">
        <v>669</v>
      </c>
      <c r="H58" s="51" t="s">
        <v>670</v>
      </c>
    </row>
    <row r="59">
      <c r="A59" s="120">
        <v>2023.0</v>
      </c>
      <c r="B59" s="51" t="s">
        <v>671</v>
      </c>
      <c r="C59" s="51" t="s">
        <v>672</v>
      </c>
      <c r="D59" s="35" t="s">
        <v>673</v>
      </c>
      <c r="E59" s="51" t="s">
        <v>674</v>
      </c>
      <c r="F59" s="51"/>
      <c r="G59" s="51" t="s">
        <v>675</v>
      </c>
      <c r="H59" s="51"/>
    </row>
    <row r="60">
      <c r="A60" s="120">
        <v>2020.0</v>
      </c>
      <c r="B60" s="51" t="s">
        <v>676</v>
      </c>
      <c r="C60" s="51" t="s">
        <v>367</v>
      </c>
      <c r="D60" s="35" t="s">
        <v>368</v>
      </c>
      <c r="E60" s="51" t="s">
        <v>677</v>
      </c>
      <c r="F60" s="51"/>
      <c r="G60" s="51" t="s">
        <v>678</v>
      </c>
      <c r="H60" s="51"/>
    </row>
    <row r="61">
      <c r="A61" s="120">
        <v>2024.0</v>
      </c>
      <c r="B61" s="51" t="s">
        <v>679</v>
      </c>
      <c r="C61" s="51" t="s">
        <v>680</v>
      </c>
      <c r="D61" s="35" t="s">
        <v>681</v>
      </c>
      <c r="E61" s="51" t="s">
        <v>682</v>
      </c>
      <c r="F61" s="51"/>
      <c r="G61" s="51" t="s">
        <v>683</v>
      </c>
      <c r="H61" s="51"/>
    </row>
    <row r="62">
      <c r="A62" s="120">
        <v>2018.0</v>
      </c>
      <c r="B62" s="51" t="s">
        <v>684</v>
      </c>
      <c r="C62" s="51" t="s">
        <v>685</v>
      </c>
      <c r="D62" s="35" t="s">
        <v>686</v>
      </c>
      <c r="E62" s="51" t="s">
        <v>687</v>
      </c>
      <c r="F62" s="51"/>
      <c r="G62" s="51" t="s">
        <v>688</v>
      </c>
      <c r="H62" s="51" t="s">
        <v>689</v>
      </c>
    </row>
    <row r="63">
      <c r="A63" s="120">
        <v>2006.0</v>
      </c>
      <c r="B63" s="51" t="s">
        <v>690</v>
      </c>
      <c r="C63" s="51" t="s">
        <v>691</v>
      </c>
      <c r="D63" s="35" t="s">
        <v>692</v>
      </c>
      <c r="E63" s="51" t="s">
        <v>693</v>
      </c>
      <c r="F63" s="51"/>
      <c r="G63" s="51" t="s">
        <v>694</v>
      </c>
      <c r="H63" s="51" t="s">
        <v>695</v>
      </c>
    </row>
    <row r="64">
      <c r="A64" s="120">
        <v>2018.0</v>
      </c>
      <c r="B64" s="51" t="s">
        <v>696</v>
      </c>
      <c r="C64" s="51" t="s">
        <v>373</v>
      </c>
      <c r="D64" s="35" t="s">
        <v>374</v>
      </c>
      <c r="E64" s="51" t="s">
        <v>697</v>
      </c>
      <c r="F64" s="51"/>
      <c r="G64" s="51" t="s">
        <v>698</v>
      </c>
      <c r="H64" s="51" t="s">
        <v>699</v>
      </c>
    </row>
    <row r="65">
      <c r="A65" s="120">
        <v>2010.0</v>
      </c>
      <c r="B65" s="51" t="s">
        <v>700</v>
      </c>
      <c r="C65" s="51" t="s">
        <v>701</v>
      </c>
      <c r="D65" s="35" t="s">
        <v>702</v>
      </c>
      <c r="E65" s="51" t="s">
        <v>703</v>
      </c>
      <c r="F65" s="51"/>
      <c r="G65" s="51" t="s">
        <v>704</v>
      </c>
      <c r="H65" s="51" t="s">
        <v>705</v>
      </c>
    </row>
    <row r="66">
      <c r="A66" s="120">
        <v>2009.0</v>
      </c>
      <c r="B66" s="51" t="s">
        <v>706</v>
      </c>
      <c r="C66" s="51" t="s">
        <v>707</v>
      </c>
      <c r="D66" s="35" t="s">
        <v>708</v>
      </c>
      <c r="E66" s="51" t="s">
        <v>709</v>
      </c>
      <c r="F66" s="51"/>
      <c r="G66" s="51" t="s">
        <v>710</v>
      </c>
      <c r="H66" s="51" t="s">
        <v>711</v>
      </c>
    </row>
    <row r="67">
      <c r="A67" s="120">
        <v>2025.0</v>
      </c>
      <c r="B67" s="51" t="s">
        <v>712</v>
      </c>
      <c r="C67" s="51" t="s">
        <v>713</v>
      </c>
      <c r="D67" s="35" t="s">
        <v>714</v>
      </c>
      <c r="E67" s="51" t="s">
        <v>715</v>
      </c>
      <c r="F67" s="51"/>
      <c r="G67" s="51" t="s">
        <v>716</v>
      </c>
      <c r="H67" s="51"/>
    </row>
    <row r="68">
      <c r="A68" s="120">
        <v>2025.0</v>
      </c>
      <c r="B68" s="51" t="s">
        <v>717</v>
      </c>
      <c r="C68" s="51" t="s">
        <v>718</v>
      </c>
      <c r="D68" s="35" t="s">
        <v>719</v>
      </c>
      <c r="E68" s="51" t="s">
        <v>720</v>
      </c>
      <c r="F68" s="51"/>
      <c r="G68" s="51" t="s">
        <v>721</v>
      </c>
      <c r="H68" s="51"/>
    </row>
    <row r="69">
      <c r="A69" s="120">
        <v>2024.0</v>
      </c>
      <c r="B69" s="51" t="s">
        <v>722</v>
      </c>
      <c r="C69" s="51" t="s">
        <v>379</v>
      </c>
      <c r="D69" s="35" t="s">
        <v>380</v>
      </c>
      <c r="E69" s="51" t="s">
        <v>723</v>
      </c>
      <c r="F69" s="51"/>
      <c r="G69" s="51"/>
      <c r="H69" s="51"/>
    </row>
    <row r="70">
      <c r="A70" s="120">
        <v>2015.0</v>
      </c>
      <c r="B70" s="51" t="s">
        <v>724</v>
      </c>
      <c r="C70" s="51" t="s">
        <v>725</v>
      </c>
      <c r="D70" s="35" t="s">
        <v>726</v>
      </c>
      <c r="E70" s="51" t="s">
        <v>727</v>
      </c>
      <c r="F70" s="51"/>
      <c r="G70" s="51"/>
      <c r="H70" s="51"/>
    </row>
    <row r="71">
      <c r="A71" s="120">
        <v>2021.0</v>
      </c>
      <c r="B71" s="51" t="s">
        <v>728</v>
      </c>
      <c r="C71" s="51" t="s">
        <v>729</v>
      </c>
      <c r="D71" s="35" t="s">
        <v>730</v>
      </c>
      <c r="E71" s="51" t="s">
        <v>731</v>
      </c>
      <c r="F71" s="51"/>
      <c r="G71" s="51" t="s">
        <v>732</v>
      </c>
      <c r="H71" s="51" t="s">
        <v>733</v>
      </c>
    </row>
    <row r="72">
      <c r="A72" s="120">
        <v>2021.0</v>
      </c>
      <c r="B72" s="51" t="s">
        <v>734</v>
      </c>
      <c r="C72" s="51" t="s">
        <v>735</v>
      </c>
      <c r="D72" s="35" t="s">
        <v>736</v>
      </c>
      <c r="E72" s="51" t="s">
        <v>737</v>
      </c>
      <c r="F72" s="51"/>
      <c r="G72" s="51" t="s">
        <v>738</v>
      </c>
      <c r="H72" s="51"/>
    </row>
    <row r="73">
      <c r="A73" s="120">
        <v>2019.0</v>
      </c>
      <c r="B73" s="51" t="s">
        <v>739</v>
      </c>
      <c r="C73" s="51" t="s">
        <v>740</v>
      </c>
      <c r="D73" s="35" t="s">
        <v>741</v>
      </c>
      <c r="E73" s="51" t="s">
        <v>742</v>
      </c>
      <c r="F73" s="51"/>
      <c r="G73" s="51"/>
      <c r="H73" s="51"/>
    </row>
    <row r="74">
      <c r="A74" s="120">
        <v>2019.0</v>
      </c>
      <c r="B74" s="51" t="s">
        <v>743</v>
      </c>
      <c r="C74" s="51" t="s">
        <v>744</v>
      </c>
      <c r="D74" s="35" t="s">
        <v>745</v>
      </c>
      <c r="E74" s="51" t="s">
        <v>746</v>
      </c>
      <c r="F74" s="51"/>
      <c r="G74" s="51"/>
      <c r="H74" s="51"/>
    </row>
    <row r="75">
      <c r="A75" s="120">
        <v>2023.0</v>
      </c>
      <c r="B75" s="51" t="s">
        <v>747</v>
      </c>
      <c r="C75" s="51" t="s">
        <v>385</v>
      </c>
      <c r="D75" s="35" t="s">
        <v>386</v>
      </c>
      <c r="E75" s="51" t="s">
        <v>748</v>
      </c>
      <c r="F75" s="51"/>
      <c r="G75" s="51" t="s">
        <v>749</v>
      </c>
      <c r="H75" s="51" t="s">
        <v>750</v>
      </c>
    </row>
    <row r="76">
      <c r="A76" s="120">
        <v>2023.0</v>
      </c>
      <c r="B76" s="51" t="s">
        <v>751</v>
      </c>
      <c r="C76" s="51" t="s">
        <v>391</v>
      </c>
      <c r="D76" s="35" t="s">
        <v>392</v>
      </c>
      <c r="E76" s="51" t="s">
        <v>752</v>
      </c>
      <c r="F76" s="51"/>
      <c r="G76" s="51" t="s">
        <v>753</v>
      </c>
      <c r="H76" s="51" t="s">
        <v>754</v>
      </c>
    </row>
    <row r="77">
      <c r="A77" s="120">
        <v>2024.0</v>
      </c>
      <c r="B77" s="51" t="s">
        <v>755</v>
      </c>
      <c r="C77" s="51" t="s">
        <v>756</v>
      </c>
      <c r="D77" s="35" t="s">
        <v>757</v>
      </c>
      <c r="E77" s="51" t="s">
        <v>758</v>
      </c>
      <c r="F77" s="51"/>
      <c r="G77" s="51" t="s">
        <v>759</v>
      </c>
      <c r="H77" s="51" t="s">
        <v>760</v>
      </c>
    </row>
    <row r="78">
      <c r="A78" s="120">
        <v>2024.0</v>
      </c>
      <c r="B78" s="51" t="s">
        <v>460</v>
      </c>
      <c r="C78" s="51" t="s">
        <v>761</v>
      </c>
      <c r="D78" s="35" t="s">
        <v>762</v>
      </c>
      <c r="E78" s="51" t="s">
        <v>763</v>
      </c>
      <c r="F78" s="51"/>
      <c r="G78" s="51" t="s">
        <v>764</v>
      </c>
      <c r="H78" s="51" t="s">
        <v>765</v>
      </c>
    </row>
    <row r="79">
      <c r="A79" s="120">
        <v>2023.0</v>
      </c>
      <c r="B79" s="51" t="s">
        <v>766</v>
      </c>
      <c r="C79" s="51" t="s">
        <v>400</v>
      </c>
      <c r="D79" s="35" t="s">
        <v>401</v>
      </c>
      <c r="E79" s="51" t="s">
        <v>767</v>
      </c>
      <c r="F79" s="51"/>
      <c r="G79" s="51" t="s">
        <v>768</v>
      </c>
      <c r="H79" s="51" t="s">
        <v>769</v>
      </c>
    </row>
    <row r="80">
      <c r="A80" s="120">
        <v>2023.0</v>
      </c>
      <c r="B80" s="51" t="s">
        <v>770</v>
      </c>
      <c r="C80" s="51" t="s">
        <v>771</v>
      </c>
      <c r="D80" s="35" t="s">
        <v>772</v>
      </c>
      <c r="E80" s="51" t="s">
        <v>773</v>
      </c>
      <c r="F80" s="51"/>
      <c r="G80" s="51" t="s">
        <v>774</v>
      </c>
      <c r="H80" s="51" t="s">
        <v>775</v>
      </c>
    </row>
    <row r="81">
      <c r="A81" s="120">
        <v>2023.0</v>
      </c>
      <c r="B81" s="51" t="s">
        <v>776</v>
      </c>
      <c r="C81" s="51" t="s">
        <v>777</v>
      </c>
      <c r="D81" s="35" t="s">
        <v>778</v>
      </c>
      <c r="E81" s="51" t="s">
        <v>779</v>
      </c>
      <c r="F81" s="51"/>
      <c r="G81" s="51" t="s">
        <v>780</v>
      </c>
      <c r="H81" s="51" t="s">
        <v>781</v>
      </c>
    </row>
    <row r="82">
      <c r="A82" s="120">
        <v>2015.0</v>
      </c>
      <c r="B82" s="51" t="s">
        <v>782</v>
      </c>
      <c r="C82" s="51" t="s">
        <v>405</v>
      </c>
      <c r="D82" s="35" t="s">
        <v>783</v>
      </c>
      <c r="E82" s="51" t="s">
        <v>784</v>
      </c>
      <c r="F82" s="51"/>
      <c r="G82" s="51" t="s">
        <v>785</v>
      </c>
      <c r="H82" s="51" t="s">
        <v>786</v>
      </c>
    </row>
    <row r="83">
      <c r="A83" s="120">
        <v>2023.0</v>
      </c>
      <c r="B83" s="51" t="s">
        <v>787</v>
      </c>
      <c r="C83" s="51" t="s">
        <v>788</v>
      </c>
      <c r="D83" s="35" t="s">
        <v>789</v>
      </c>
      <c r="E83" s="51" t="s">
        <v>790</v>
      </c>
      <c r="F83" s="51"/>
      <c r="G83" s="51"/>
      <c r="H83" s="51"/>
    </row>
    <row r="84">
      <c r="A84" s="120">
        <v>2024.0</v>
      </c>
      <c r="B84" s="51" t="s">
        <v>791</v>
      </c>
      <c r="C84" s="51" t="s">
        <v>792</v>
      </c>
      <c r="D84" s="29" t="s">
        <v>793</v>
      </c>
      <c r="E84" s="51" t="s">
        <v>794</v>
      </c>
      <c r="F84" s="51"/>
      <c r="G84" s="51"/>
      <c r="H84" s="51"/>
    </row>
    <row r="85">
      <c r="A85" s="120">
        <v>2025.0</v>
      </c>
      <c r="B85" s="51" t="s">
        <v>795</v>
      </c>
      <c r="C85" s="51" t="s">
        <v>411</v>
      </c>
      <c r="D85" s="35" t="s">
        <v>412</v>
      </c>
      <c r="E85" s="51" t="s">
        <v>796</v>
      </c>
      <c r="F85" s="51"/>
      <c r="G85" s="51" t="s">
        <v>797</v>
      </c>
      <c r="H85" s="51"/>
    </row>
    <row r="86">
      <c r="A86" s="120">
        <v>2024.0</v>
      </c>
      <c r="B86" s="51" t="s">
        <v>798</v>
      </c>
      <c r="C86" s="51" t="s">
        <v>799</v>
      </c>
      <c r="D86" s="35" t="s">
        <v>800</v>
      </c>
      <c r="E86" s="51" t="s">
        <v>801</v>
      </c>
      <c r="F86" s="51"/>
      <c r="G86" s="51" t="s">
        <v>802</v>
      </c>
      <c r="H86" s="51"/>
    </row>
    <row r="87">
      <c r="A87" s="120">
        <v>2024.0</v>
      </c>
      <c r="B87" s="51" t="s">
        <v>803</v>
      </c>
      <c r="C87" s="51" t="s">
        <v>804</v>
      </c>
      <c r="D87" s="35" t="s">
        <v>805</v>
      </c>
      <c r="E87" s="51" t="s">
        <v>806</v>
      </c>
      <c r="F87" s="51"/>
      <c r="G87" s="51" t="s">
        <v>807</v>
      </c>
      <c r="H87" s="51"/>
    </row>
    <row r="88">
      <c r="A88" s="120">
        <v>2025.0</v>
      </c>
      <c r="B88" s="51" t="s">
        <v>606</v>
      </c>
      <c r="C88" s="51" t="s">
        <v>413</v>
      </c>
      <c r="D88" s="35" t="s">
        <v>414</v>
      </c>
      <c r="E88" s="51" t="s">
        <v>808</v>
      </c>
      <c r="F88" s="51"/>
      <c r="G88" s="51" t="s">
        <v>809</v>
      </c>
      <c r="H88" s="51"/>
    </row>
    <row r="89">
      <c r="A89" s="120">
        <v>2025.0</v>
      </c>
      <c r="B89" s="51" t="s">
        <v>810</v>
      </c>
      <c r="C89" s="51" t="s">
        <v>811</v>
      </c>
      <c r="D89" s="35" t="s">
        <v>812</v>
      </c>
      <c r="E89" s="51" t="s">
        <v>813</v>
      </c>
      <c r="F89" s="51"/>
      <c r="G89" s="51" t="s">
        <v>814</v>
      </c>
      <c r="H89" s="51"/>
    </row>
    <row r="90">
      <c r="A90" s="120">
        <v>2025.0</v>
      </c>
      <c r="B90" s="51" t="s">
        <v>815</v>
      </c>
      <c r="C90" s="51" t="s">
        <v>816</v>
      </c>
      <c r="D90" s="35" t="s">
        <v>817</v>
      </c>
      <c r="E90" s="51" t="s">
        <v>818</v>
      </c>
      <c r="F90" s="51"/>
      <c r="G90" s="51" t="s">
        <v>819</v>
      </c>
      <c r="H90" s="51"/>
    </row>
    <row r="91">
      <c r="A91" s="120">
        <v>2024.0</v>
      </c>
      <c r="B91" s="51" t="s">
        <v>820</v>
      </c>
      <c r="C91" s="51" t="s">
        <v>821</v>
      </c>
      <c r="D91" s="35" t="s">
        <v>822</v>
      </c>
      <c r="E91" s="51" t="s">
        <v>823</v>
      </c>
      <c r="F91" s="51"/>
      <c r="G91" s="51" t="s">
        <v>824</v>
      </c>
      <c r="H91" s="51"/>
    </row>
    <row r="92">
      <c r="A92" s="120">
        <v>2024.0</v>
      </c>
      <c r="B92" s="51" t="s">
        <v>825</v>
      </c>
      <c r="C92" s="51" t="s">
        <v>826</v>
      </c>
      <c r="D92" s="35" t="s">
        <v>827</v>
      </c>
      <c r="E92" s="51" t="s">
        <v>828</v>
      </c>
      <c r="F92" s="51"/>
      <c r="G92" s="51" t="s">
        <v>829</v>
      </c>
      <c r="H92" s="51"/>
    </row>
    <row r="93">
      <c r="A93" s="120">
        <v>2023.0</v>
      </c>
      <c r="B93" s="51" t="s">
        <v>830</v>
      </c>
      <c r="C93" s="51" t="s">
        <v>831</v>
      </c>
      <c r="D93" s="35" t="s">
        <v>832</v>
      </c>
      <c r="E93" s="51" t="s">
        <v>833</v>
      </c>
      <c r="F93" s="51"/>
      <c r="G93" s="51" t="s">
        <v>834</v>
      </c>
      <c r="H93" s="51"/>
    </row>
    <row r="94">
      <c r="A94" s="120">
        <v>2020.0</v>
      </c>
      <c r="B94" s="51" t="s">
        <v>830</v>
      </c>
      <c r="C94" s="51" t="s">
        <v>835</v>
      </c>
      <c r="D94" s="35" t="s">
        <v>836</v>
      </c>
      <c r="E94" s="51" t="s">
        <v>837</v>
      </c>
      <c r="F94" s="51"/>
      <c r="G94" s="51"/>
      <c r="H94" s="51"/>
    </row>
    <row r="95">
      <c r="A95" s="120">
        <v>2016.0</v>
      </c>
      <c r="B95" s="51" t="s">
        <v>838</v>
      </c>
      <c r="C95" s="51" t="s">
        <v>839</v>
      </c>
      <c r="D95" s="35" t="s">
        <v>840</v>
      </c>
      <c r="E95" s="51" t="s">
        <v>841</v>
      </c>
      <c r="F95" s="51"/>
      <c r="G95" s="51" t="s">
        <v>842</v>
      </c>
      <c r="H95" s="51" t="s">
        <v>843</v>
      </c>
    </row>
    <row r="96">
      <c r="A96" s="120">
        <v>2019.0</v>
      </c>
      <c r="B96" s="51" t="s">
        <v>844</v>
      </c>
      <c r="C96" s="51" t="s">
        <v>845</v>
      </c>
      <c r="D96" s="29" t="s">
        <v>846</v>
      </c>
      <c r="E96" s="51" t="s">
        <v>847</v>
      </c>
      <c r="F96" s="51"/>
      <c r="G96" s="51"/>
      <c r="H96" s="51"/>
    </row>
    <row r="97">
      <c r="A97" s="120">
        <v>2025.0</v>
      </c>
      <c r="B97" s="51" t="s">
        <v>848</v>
      </c>
      <c r="C97" s="51" t="s">
        <v>849</v>
      </c>
      <c r="D97" s="29" t="s">
        <v>850</v>
      </c>
      <c r="E97" s="51" t="s">
        <v>851</v>
      </c>
      <c r="F97" s="51"/>
      <c r="G97" s="51"/>
      <c r="H97" s="51"/>
    </row>
    <row r="98">
      <c r="A98" s="120">
        <v>2021.0</v>
      </c>
      <c r="B98" s="51" t="s">
        <v>852</v>
      </c>
      <c r="C98" s="51" t="s">
        <v>853</v>
      </c>
      <c r="D98" s="35" t="s">
        <v>854</v>
      </c>
      <c r="E98" s="51" t="s">
        <v>855</v>
      </c>
      <c r="F98" s="51"/>
      <c r="G98" s="51"/>
      <c r="H98" s="51"/>
    </row>
    <row r="99">
      <c r="A99" s="120">
        <v>2024.0</v>
      </c>
      <c r="B99" s="51" t="s">
        <v>856</v>
      </c>
      <c r="C99" s="51" t="s">
        <v>416</v>
      </c>
      <c r="D99" s="35" t="s">
        <v>417</v>
      </c>
      <c r="E99" s="51" t="s">
        <v>857</v>
      </c>
      <c r="F99" s="51"/>
      <c r="G99" s="51" t="s">
        <v>858</v>
      </c>
      <c r="H99" s="51"/>
    </row>
    <row r="100">
      <c r="A100" s="120">
        <v>2019.0</v>
      </c>
      <c r="B100" s="51" t="s">
        <v>859</v>
      </c>
      <c r="C100" s="51" t="s">
        <v>860</v>
      </c>
      <c r="D100" s="35" t="s">
        <v>861</v>
      </c>
      <c r="E100" s="51" t="s">
        <v>862</v>
      </c>
      <c r="F100" s="51"/>
      <c r="G100" s="51" t="s">
        <v>863</v>
      </c>
      <c r="H100" s="51" t="s">
        <v>864</v>
      </c>
    </row>
    <row r="101">
      <c r="A101" s="120">
        <v>2021.0</v>
      </c>
      <c r="B101" s="51" t="s">
        <v>865</v>
      </c>
      <c r="C101" s="51" t="s">
        <v>866</v>
      </c>
      <c r="D101" s="35" t="s">
        <v>867</v>
      </c>
      <c r="E101" s="51" t="s">
        <v>868</v>
      </c>
      <c r="F101" s="51"/>
      <c r="G101" s="51" t="s">
        <v>869</v>
      </c>
      <c r="H101" s="51" t="s">
        <v>870</v>
      </c>
    </row>
    <row r="102">
      <c r="A102" s="120">
        <v>2023.0</v>
      </c>
      <c r="B102" s="51" t="s">
        <v>871</v>
      </c>
      <c r="C102" s="51" t="s">
        <v>872</v>
      </c>
      <c r="D102" s="35" t="s">
        <v>873</v>
      </c>
      <c r="E102" s="51" t="s">
        <v>874</v>
      </c>
      <c r="F102" s="51"/>
      <c r="G102" s="51" t="s">
        <v>875</v>
      </c>
      <c r="H102" s="51"/>
    </row>
    <row r="103">
      <c r="A103" s="120">
        <v>2015.0</v>
      </c>
      <c r="B103" s="51" t="s">
        <v>876</v>
      </c>
      <c r="C103" s="51" t="s">
        <v>877</v>
      </c>
      <c r="D103" s="35" t="s">
        <v>878</v>
      </c>
      <c r="E103" s="51" t="s">
        <v>879</v>
      </c>
      <c r="F103" s="51"/>
      <c r="G103" s="51" t="s">
        <v>880</v>
      </c>
      <c r="H103" s="51" t="s">
        <v>881</v>
      </c>
    </row>
    <row r="104">
      <c r="A104" s="120">
        <v>2022.0</v>
      </c>
      <c r="B104" s="51" t="s">
        <v>882</v>
      </c>
      <c r="C104" s="51" t="s">
        <v>883</v>
      </c>
      <c r="D104" s="35" t="s">
        <v>884</v>
      </c>
      <c r="E104" s="51" t="s">
        <v>885</v>
      </c>
      <c r="F104" s="51"/>
      <c r="G104" s="51" t="s">
        <v>886</v>
      </c>
      <c r="H104" s="51" t="s">
        <v>670</v>
      </c>
    </row>
    <row r="105">
      <c r="A105" s="120">
        <v>2016.0</v>
      </c>
      <c r="B105" s="51" t="s">
        <v>887</v>
      </c>
      <c r="C105" s="51" t="s">
        <v>888</v>
      </c>
      <c r="D105" s="35" t="s">
        <v>889</v>
      </c>
      <c r="E105" s="51" t="s">
        <v>890</v>
      </c>
      <c r="F105" s="51"/>
      <c r="G105" s="51"/>
      <c r="H105" s="51"/>
    </row>
    <row r="106">
      <c r="A106" s="120">
        <v>2016.0</v>
      </c>
      <c r="B106" s="51" t="s">
        <v>891</v>
      </c>
      <c r="C106" s="51" t="s">
        <v>892</v>
      </c>
      <c r="D106" s="35" t="s">
        <v>893</v>
      </c>
      <c r="E106" s="51" t="s">
        <v>894</v>
      </c>
      <c r="F106" s="51"/>
      <c r="G106" s="51"/>
      <c r="H106" s="51"/>
    </row>
    <row r="107">
      <c r="A107" s="120">
        <v>2016.0</v>
      </c>
      <c r="B107" s="51" t="s">
        <v>895</v>
      </c>
      <c r="C107" s="51" t="s">
        <v>896</v>
      </c>
      <c r="D107" s="35" t="s">
        <v>897</v>
      </c>
      <c r="E107" s="51" t="s">
        <v>898</v>
      </c>
      <c r="F107" s="51"/>
      <c r="G107" s="51"/>
      <c r="H107" s="51"/>
    </row>
    <row r="108">
      <c r="A108" s="120">
        <v>2017.0</v>
      </c>
      <c r="B108" s="51" t="s">
        <v>570</v>
      </c>
      <c r="C108" s="51" t="s">
        <v>899</v>
      </c>
      <c r="D108" s="35" t="s">
        <v>900</v>
      </c>
      <c r="E108" s="51" t="s">
        <v>901</v>
      </c>
      <c r="F108" s="51"/>
      <c r="G108" s="51" t="s">
        <v>902</v>
      </c>
      <c r="H108" s="51" t="s">
        <v>903</v>
      </c>
    </row>
    <row r="109">
      <c r="A109" s="120">
        <v>2024.0</v>
      </c>
      <c r="B109" s="51" t="s">
        <v>904</v>
      </c>
      <c r="C109" s="51" t="s">
        <v>905</v>
      </c>
      <c r="D109" s="35" t="s">
        <v>906</v>
      </c>
      <c r="E109" s="51" t="s">
        <v>907</v>
      </c>
      <c r="F109" s="51"/>
      <c r="G109" s="51" t="s">
        <v>908</v>
      </c>
      <c r="H109" s="51"/>
    </row>
    <row r="110">
      <c r="A110" s="120">
        <v>2025.0</v>
      </c>
      <c r="B110" s="51" t="s">
        <v>909</v>
      </c>
      <c r="C110" s="51" t="s">
        <v>910</v>
      </c>
      <c r="D110" s="35" t="s">
        <v>911</v>
      </c>
      <c r="E110" s="51" t="s">
        <v>912</v>
      </c>
      <c r="F110" s="51"/>
      <c r="G110" s="51" t="s">
        <v>913</v>
      </c>
      <c r="H110" s="51"/>
    </row>
    <row r="111">
      <c r="A111" s="27">
        <v>2016.0</v>
      </c>
      <c r="B111" s="27"/>
      <c r="C111" s="27" t="s">
        <v>20</v>
      </c>
    </row>
    <row r="112">
      <c r="A112" s="27">
        <v>2020.0</v>
      </c>
      <c r="C112" s="30" t="s">
        <v>41</v>
      </c>
    </row>
    <row r="113">
      <c r="A113" s="27">
        <v>2020.0</v>
      </c>
      <c r="C113" s="46" t="s">
        <v>51</v>
      </c>
    </row>
    <row r="114">
      <c r="A114" s="27">
        <v>2023.0</v>
      </c>
      <c r="C114" s="30" t="s">
        <v>59</v>
      </c>
    </row>
    <row r="115">
      <c r="A115" s="27">
        <v>2022.0</v>
      </c>
      <c r="C115" s="30" t="s">
        <v>69</v>
      </c>
    </row>
    <row r="116">
      <c r="A116" s="27">
        <v>2022.0</v>
      </c>
      <c r="C116" s="30" t="s">
        <v>914</v>
      </c>
    </row>
    <row r="117">
      <c r="A117" s="27">
        <v>2022.0</v>
      </c>
      <c r="C117" s="30" t="s">
        <v>84</v>
      </c>
    </row>
    <row r="118">
      <c r="A118" s="27">
        <v>2021.0</v>
      </c>
      <c r="C118" s="30" t="s">
        <v>915</v>
      </c>
    </row>
    <row r="119">
      <c r="A119" s="27">
        <v>2024.0</v>
      </c>
      <c r="C119" s="121" t="s">
        <v>91</v>
      </c>
    </row>
    <row r="120">
      <c r="A120" s="27">
        <v>2020.0</v>
      </c>
      <c r="C120" s="30" t="s">
        <v>98</v>
      </c>
    </row>
    <row r="121">
      <c r="A121" s="27">
        <v>2025.0</v>
      </c>
      <c r="C121" s="30" t="s">
        <v>105</v>
      </c>
    </row>
    <row r="122">
      <c r="A122" s="27">
        <v>2021.0</v>
      </c>
      <c r="C122" s="30" t="s">
        <v>112</v>
      </c>
    </row>
    <row r="123">
      <c r="A123" s="27">
        <v>2016.0</v>
      </c>
      <c r="C123" s="30" t="s">
        <v>119</v>
      </c>
    </row>
    <row r="124">
      <c r="A124" s="27">
        <v>2022.0</v>
      </c>
      <c r="C124" s="122" t="s">
        <v>127</v>
      </c>
    </row>
    <row r="125">
      <c r="A125" s="27">
        <v>2022.0</v>
      </c>
      <c r="C125" s="46" t="s">
        <v>134</v>
      </c>
    </row>
    <row r="126">
      <c r="A126" s="27">
        <v>2024.0</v>
      </c>
      <c r="C126" s="30" t="s">
        <v>140</v>
      </c>
    </row>
    <row r="127">
      <c r="A127" s="27">
        <v>2024.0</v>
      </c>
      <c r="C127" s="46" t="s">
        <v>146</v>
      </c>
    </row>
    <row r="128">
      <c r="A128" s="27">
        <v>2023.0</v>
      </c>
      <c r="C128" s="46" t="s">
        <v>150</v>
      </c>
    </row>
    <row r="129">
      <c r="A129" s="27">
        <v>2025.0</v>
      </c>
      <c r="C129" s="46" t="s">
        <v>158</v>
      </c>
    </row>
    <row r="130">
      <c r="A130" s="27">
        <v>2024.0</v>
      </c>
      <c r="C130" s="123" t="s">
        <v>916</v>
      </c>
    </row>
    <row r="131">
      <c r="A131" s="27">
        <v>2025.0</v>
      </c>
      <c r="C131" s="124" t="s">
        <v>165</v>
      </c>
    </row>
    <row r="132">
      <c r="A132" s="27">
        <v>2025.0</v>
      </c>
      <c r="C132" s="30" t="s">
        <v>173</v>
      </c>
    </row>
    <row r="133">
      <c r="A133" s="27">
        <v>2024.0</v>
      </c>
      <c r="C133" s="46" t="s">
        <v>178</v>
      </c>
    </row>
    <row r="134">
      <c r="A134" s="27">
        <v>2024.0</v>
      </c>
      <c r="C134" s="30" t="s">
        <v>188</v>
      </c>
    </row>
    <row r="135">
      <c r="A135" s="27">
        <v>2023.0</v>
      </c>
      <c r="C135" s="41" t="s">
        <v>198</v>
      </c>
    </row>
    <row r="136">
      <c r="A136" s="27">
        <v>2019.0</v>
      </c>
      <c r="C136" s="125" t="s">
        <v>917</v>
      </c>
    </row>
    <row r="137">
      <c r="A137" s="27">
        <v>2023.0</v>
      </c>
      <c r="C137" s="28" t="s">
        <v>204</v>
      </c>
    </row>
    <row r="138">
      <c r="A138" s="27">
        <v>2025.0</v>
      </c>
      <c r="C138" s="46" t="s">
        <v>212</v>
      </c>
    </row>
    <row r="139">
      <c r="A139" s="27">
        <v>2025.0</v>
      </c>
      <c r="C139" s="126" t="s">
        <v>918</v>
      </c>
    </row>
    <row r="140">
      <c r="A140" s="27">
        <v>2024.0</v>
      </c>
      <c r="C140" s="27" t="s">
        <v>310</v>
      </c>
    </row>
  </sheetData>
  <autoFilter ref="$F$1:$F$911"/>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location="citations" ref="D14"/>
    <hyperlink r:id="rId14" ref="D15"/>
    <hyperlink r:id="rId15" ref="D16"/>
    <hyperlink r:id="rId16" ref="D17"/>
    <hyperlink r:id="rId17" ref="D18"/>
    <hyperlink r:id="rId18" location="citations"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location="citations"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s>
  <drawing r:id="rId11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5"/>
  </cols>
  <sheetData>
    <row r="1">
      <c r="A1" s="11" t="s">
        <v>919</v>
      </c>
      <c r="B1" s="11" t="s">
        <v>2</v>
      </c>
      <c r="C1" s="11" t="s">
        <v>920</v>
      </c>
      <c r="D1" s="11" t="s">
        <v>921</v>
      </c>
      <c r="E1" s="127"/>
      <c r="F1" s="127"/>
      <c r="G1" s="127"/>
      <c r="H1" s="127"/>
      <c r="I1" s="127"/>
      <c r="J1" s="127"/>
      <c r="K1" s="127"/>
      <c r="L1" s="127"/>
      <c r="M1" s="127"/>
      <c r="N1" s="127"/>
      <c r="O1" s="127"/>
      <c r="P1" s="127"/>
      <c r="Q1" s="127"/>
      <c r="R1" s="127"/>
      <c r="S1" s="127"/>
      <c r="T1" s="127"/>
      <c r="U1" s="127"/>
      <c r="V1" s="127"/>
      <c r="W1" s="127"/>
      <c r="X1" s="127"/>
      <c r="Y1" s="127"/>
      <c r="Z1" s="127"/>
    </row>
    <row r="2">
      <c r="A2" s="27" t="s">
        <v>922</v>
      </c>
      <c r="B2" s="27" t="s">
        <v>923</v>
      </c>
      <c r="C2" s="58" t="s">
        <v>924</v>
      </c>
      <c r="D2" s="27">
        <v>745.0</v>
      </c>
    </row>
    <row r="3">
      <c r="A3" s="27" t="s">
        <v>925</v>
      </c>
      <c r="B3" s="27" t="s">
        <v>926</v>
      </c>
      <c r="C3" s="58" t="s">
        <v>927</v>
      </c>
      <c r="D3" s="27">
        <v>816.0</v>
      </c>
    </row>
    <row r="4">
      <c r="A4" s="27" t="s">
        <v>928</v>
      </c>
      <c r="B4" s="27" t="s">
        <v>929</v>
      </c>
      <c r="C4" s="58" t="s">
        <v>930</v>
      </c>
      <c r="D4" s="128">
        <v>403.0</v>
      </c>
    </row>
    <row r="5">
      <c r="A5" s="27" t="s">
        <v>931</v>
      </c>
      <c r="B5" s="27" t="s">
        <v>932</v>
      </c>
      <c r="C5" s="58" t="s">
        <v>933</v>
      </c>
      <c r="D5" s="128">
        <v>857.0</v>
      </c>
    </row>
    <row r="6">
      <c r="D6" s="26">
        <f>SUM(D2:D5)</f>
        <v>2821</v>
      </c>
    </row>
    <row r="11">
      <c r="A11" s="27" t="s">
        <v>934</v>
      </c>
    </row>
  </sheetData>
  <hyperlinks>
    <hyperlink r:id="rId1" ref="C2"/>
    <hyperlink r:id="rId2" ref="C3"/>
    <hyperlink r:id="rId3" ref="C4"/>
    <hyperlink r:id="rId4" ref="C5"/>
  </hyperlinks>
  <drawing r:id="rId5"/>
</worksheet>
</file>